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dc745cfc94c4ee4" /></Relationships>
</file>

<file path=xl/workbook.xml><?xml version="1.0" encoding="utf-8"?>
<x:workbook xmlns:x="http://schemas.openxmlformats.org/spreadsheetml/2006/main">
  <x:sheets>
    <x:sheet xmlns:r="http://schemas.openxmlformats.org/officeDocument/2006/relationships" name="Summary" sheetId="1" r:id="Raadeb82107584552"/>
    <x:sheet xmlns:r="http://schemas.openxmlformats.org/officeDocument/2006/relationships" name="Assumptions" sheetId="2" r:id="R6f40f666480649fd"/>
    <x:sheet xmlns:r="http://schemas.openxmlformats.org/officeDocument/2006/relationships" name="Signal Events" sheetId="3" r:id="Rfee8d74be5b74ef3"/>
    <x:sheet xmlns:r="http://schemas.openxmlformats.org/officeDocument/2006/relationships" name="Replay Audit" sheetId="4" r:id="R4595a60bba2d4a7f"/>
    <x:sheet xmlns:r="http://schemas.openxmlformats.org/officeDocument/2006/relationships" name="Raw Opinions" sheetId="5" r:id="R214db69ef7b843ce"/>
    <x:sheet xmlns:r="http://schemas.openxmlformats.org/officeDocument/2006/relationships" name="Raw Prices" sheetId="6" r:id="Ra244c662ba6c43e3"/>
    <x:sheet xmlns:r="http://schemas.openxmlformats.org/officeDocument/2006/relationships" name="Checks" sheetId="7" r:id="R795064e7cea04033"/>
    <x:sheet xmlns:r="http://schemas.openxmlformats.org/officeDocument/2006/relationships" name="Sources &amp; Audit" sheetId="8" r:id="Rac25d11ea8a64ada"/>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
    <x:numFmt numFmtId="201" formatCode="0%"/>
    <x:numFmt numFmtId="202" formatCode="0.0%;[Red](0.0%);-"/>
    <x:numFmt numFmtId="203" formatCode="0.00%"/>
    <x:numFmt numFmtId="204" formatCode="0.0%"/>
    <x:numFmt numFmtId="205" formatCode="yyyy-mm-dd hh:mm"/>
    <x:numFmt numFmtId="206" formatCode="yyyy-mm-dd"/>
    <x:numFmt numFmtId="207" formatCode="&quot;$&quot;0.00;[Red](&quot;$&quot;0.00);-"/>
    <x:numFmt numFmtId="208" formatCode="0.000000"/>
    <x:numFmt numFmtId="209" formatCode="0.0000%"/>
  </x:numFmts>
  <x:fonts count="10">
    <x:font>
      <x:sz val="11"/>
      <x:name val="Carlito"/>
    </x:font>
    <x:font>
      <x:b/>
      <x:sz val="18"/>
      <x:color rgb="FFFFFFFF"/>
      <x:name val="Carlito"/>
    </x:font>
    <x:font>
      <x:i/>
      <x:sz val="11"/>
      <x:color rgb="FF475569"/>
      <x:name val="Carlito"/>
    </x:font>
    <x:font>
      <x:b/>
      <x:sz val="11"/>
      <x:color rgb="FF102A43"/>
      <x:name val="Carlito"/>
    </x:font>
    <x:font>
      <x:sz val="10"/>
      <x:color rgb="FF111827"/>
      <x:name val="Carlito"/>
    </x:font>
    <x:font>
      <x:b/>
      <x:sz val="10"/>
      <x:color rgb="FF102A43"/>
      <x:name val="Carlito"/>
    </x:font>
    <x:font>
      <x:b/>
      <x:sz val="11"/>
      <x:color rgb="FFFFFFFF"/>
      <x:name val="Carlito"/>
    </x:font>
    <x:font>
      <x:sz val="10"/>
      <x:color rgb="FF2563EB"/>
      <x:name val="Carlito"/>
    </x:font>
    <x:font>
      <x:sz val="10"/>
      <x:color rgb="FFB91C1C"/>
      <x:name val="Carlito"/>
    </x:font>
    <x:font>
      <x:i/>
      <x:sz val="11"/>
      <x:color rgb="FFB45309"/>
      <x:name val="Carlito"/>
    </x:font>
  </x:fonts>
  <x:fills count="6">
    <x:fill>
      <x:patternFill patternType="none"/>
    </x:fill>
    <x:fill>
      <x:patternFill patternType="gray125"/>
    </x:fill>
    <x:fill>
      <x:patternFill patternType="solid">
        <x:fgColor rgb="FF102A43"/>
      </x:patternFill>
    </x:fill>
    <x:fill>
      <x:patternFill patternType="solid">
        <x:fgColor rgb="FFF8FAFC"/>
      </x:patternFill>
    </x:fill>
    <x:fill>
      <x:patternFill patternType="solid">
        <x:fgColor rgb="FFE8F1FF"/>
      </x:patternFill>
    </x:fill>
    <x:fill>
      <x:patternFill patternType="solid">
        <x:fgColor rgb="FFFEF3C7"/>
      </x:patternFill>
    </x:fill>
  </x:fills>
  <x:borders count="8">
    <x:border/>
    <x:border>
      <x:right style="thin">
        <x:color rgb="FFE2E8F0"/>
      </x:right>
    </x:border>
    <x:border>
      <x:left style="thin">
        <x:color rgb="FFE2E8F0"/>
      </x:left>
      <x:right style="thin">
        <x:color rgb="FFE2E8F0"/>
      </x:right>
    </x:border>
    <x:border>
      <x:left style="thin">
        <x:color rgb="FFE2E8F0"/>
      </x:left>
    </x:border>
    <x:border>
      <x:bottom style="thin">
        <x:color rgb="FFE2E8F0"/>
      </x:bottom>
    </x:border>
    <x:border>
      <x:top style="thin">
        <x:color rgb="FFE2E8F0"/>
      </x:top>
      <x:bottom style="thin">
        <x:color rgb="FFE2E8F0"/>
      </x:bottom>
    </x:border>
    <x:border>
      <x:top style="thin">
        <x:color rgb="FFE2E8F0"/>
      </x:top>
    </x:border>
    <x:border>
      <x:top style="double">
        <x:color rgb="FF102A43"/>
      </x:top>
    </x:border>
  </x:borders>
  <x:cellStyleXfs count="1">
    <x:xf numFmtId="0" fontId="0" fillId="0" borderId="0"/>
  </x:cellStyleXfs>
  <x:cellXfs count="7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vertical="center"/>
    </x:xf>
    <x:xf numFmtId="0" fontId="4" fillId="0" borderId="5" xfId="0" applyNumberFormat="1" applyFont="1" applyFill="1" applyBorder="1" applyAlignment="1">
      <x:alignment vertical="center"/>
    </x:xf>
    <x:xf numFmtId="0" fontId="4" fillId="0" borderId="6" xfId="0" applyNumberFormat="1" applyFont="1" applyFill="1" applyBorder="1" applyAlignment="1">
      <x:alignment vertical="center"/>
    </x:xf>
    <x:xf numFmtId="0" fontId="4" fillId="0"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7" xfId="0" applyNumberFormat="1" applyFont="1" applyFill="1" applyBorder="1" applyAlignment="1">
      <x:alignment vertical="center"/>
    </x:xf>
    <x:xf numFmtId="200" fontId="4" fillId="0" borderId="4" xfId="0" applyNumberFormat="1" applyFont="1" applyFill="1" applyBorder="1" applyAlignment="1">
      <x:alignment vertical="center"/>
    </x:xf>
    <x:xf numFmtId="200" fontId="4" fillId="0" borderId="5" xfId="0" applyNumberFormat="1" applyFont="1" applyFill="1" applyBorder="1" applyAlignment="1">
      <x:alignment vertical="center"/>
    </x:xf>
    <x:xf numFmtId="200" fontId="4" fillId="0" borderId="6" xfId="0" applyNumberFormat="1" applyFont="1" applyFill="1" applyBorder="1" applyAlignment="1">
      <x:alignment vertical="center"/>
    </x:xf>
    <x:xf numFmtId="200" fontId="5" fillId="3" borderId="7" xfId="0" applyNumberFormat="1" applyFont="1" applyFill="1" applyBorder="1" applyAlignment="1">
      <x:alignment vertical="center"/>
    </x:xf>
    <x:xf numFmtId="201" fontId="4" fillId="0" borderId="4" xfId="0" applyNumberFormat="1" applyFont="1" applyFill="1" applyBorder="1" applyAlignment="1">
      <x:alignment vertical="center"/>
    </x:xf>
    <x:xf numFmtId="201" fontId="4" fillId="0" borderId="5" xfId="0" applyNumberFormat="1" applyFont="1" applyFill="1" applyBorder="1" applyAlignment="1">
      <x:alignment vertical="center"/>
    </x:xf>
    <x:xf numFmtId="201" fontId="4" fillId="0" borderId="6" xfId="0" applyNumberFormat="1" applyFont="1" applyFill="1" applyBorder="1" applyAlignment="1">
      <x:alignment vertical="center"/>
    </x:xf>
    <x:xf numFmtId="201" fontId="5" fillId="3" borderId="7" xfId="0" applyNumberFormat="1" applyFont="1" applyFill="1" applyBorder="1" applyAlignment="1">
      <x:alignment vertical="center"/>
    </x:xf>
    <x:xf numFmtId="0" fontId="6" fillId="2" borderId="0" xfId="0" applyNumberFormat="1" applyFont="1" applyFill="1" applyBorder="1"/>
    <x:xf numFmtId="0" fontId="6" fillId="2" borderId="0" xfId="0" applyNumberFormat="1" applyFont="1" applyFill="1" applyBorder="1" applyAlignment="1">
      <x:alignment vertical="center"/>
    </x:xf>
    <x:xf numFmtId="0" fontId="5" fillId="0" borderId="4" xfId="0" applyNumberFormat="1" applyFont="1" applyFill="1" applyBorder="1" applyAlignment="1">
      <x:alignment vertical="center"/>
    </x:xf>
    <x:xf numFmtId="0" fontId="5" fillId="0" borderId="5" xfId="0" applyNumberFormat="1" applyFont="1" applyFill="1" applyBorder="1" applyAlignment="1">
      <x:alignment vertical="center"/>
    </x:xf>
    <x:xf numFmtId="0" fontId="5" fillId="0" borderId="6" xfId="0" applyNumberFormat="1" applyFont="1" applyFill="1" applyBorder="1" applyAlignment="1">
      <x:alignment vertical="center"/>
    </x:xf>
    <x:xf numFmtId="202" fontId="0" fillId="0" borderId="0" xfId="0" applyNumberFormat="1" applyFont="1" applyFill="1" applyBorder="1"/>
    <x:xf numFmtId="0" fontId="7" fillId="0" borderId="4" xfId="0" applyNumberFormat="1" applyFont="1" applyFill="1" applyBorder="1" applyAlignment="1">
      <x:alignment vertical="center"/>
    </x:xf>
    <x:xf numFmtId="0" fontId="7" fillId="0" borderId="5" xfId="0" applyNumberFormat="1" applyFont="1" applyFill="1" applyBorder="1" applyAlignment="1">
      <x:alignment vertical="center"/>
    </x:xf>
    <x:xf numFmtId="0" fontId="7" fillId="0" borderId="6" xfId="0" applyNumberFormat="1" applyFont="1" applyFill="1" applyBorder="1" applyAlignment="1">
      <x:alignment vertical="center"/>
    </x:xf>
    <x:xf numFmtId="203" fontId="7" fillId="0" borderId="5" xfId="0" applyNumberFormat="1" applyFont="1" applyFill="1" applyBorder="1" applyAlignment="1">
      <x:alignment vertical="center"/>
    </x:xf>
    <x:xf numFmtId="201" fontId="7" fillId="0" borderId="5" xfId="0" applyNumberFormat="1" applyFont="1" applyFill="1" applyBorder="1" applyAlignment="1">
      <x:alignment vertical="center"/>
    </x:xf>
    <x:xf numFmtId="204" fontId="7" fillId="0" borderId="5" xfId="0" applyNumberFormat="1" applyFont="1" applyFill="1" applyBorder="1" applyAlignment="1">
      <x:alignment vertical="center"/>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4" fillId="0" borderId="6" xfId="0" applyNumberFormat="1" applyFont="1" applyFill="1" applyBorder="1" applyAlignment="1">
      <x:alignment vertical="center" wrapText="1"/>
    </x:xf>
    <x:xf numFmtId="205" fontId="4" fillId="0" borderId="4" xfId="0" applyNumberFormat="1" applyFont="1" applyFill="1" applyBorder="1" applyAlignment="1">
      <x:alignment vertical="center"/>
    </x:xf>
    <x:xf numFmtId="205" fontId="4" fillId="0" borderId="5" xfId="0" applyNumberFormat="1" applyFont="1" applyFill="1" applyBorder="1" applyAlignment="1">
      <x:alignment vertical="center"/>
    </x:xf>
    <x:xf numFmtId="205" fontId="4" fillId="0" borderId="6" xfId="0" applyNumberFormat="1" applyFont="1" applyFill="1" applyBorder="1" applyAlignment="1">
      <x:alignment vertical="center"/>
    </x:xf>
    <x:xf numFmtId="206" fontId="4" fillId="0" borderId="4" xfId="0" applyNumberFormat="1" applyFont="1" applyFill="1" applyBorder="1" applyAlignment="1">
      <x:alignment vertical="center"/>
    </x:xf>
    <x:xf numFmtId="206" fontId="4" fillId="0" borderId="5" xfId="0" applyNumberFormat="1" applyFont="1" applyFill="1" applyBorder="1" applyAlignment="1">
      <x:alignment vertical="center"/>
    </x:xf>
    <x:xf numFmtId="206" fontId="4" fillId="0" borderId="6" xfId="0" applyNumberFormat="1" applyFont="1" applyFill="1" applyBorder="1" applyAlignment="1">
      <x:alignment vertical="center"/>
    </x:xf>
    <x:xf numFmtId="207" fontId="4" fillId="0" borderId="4" xfId="0" applyNumberFormat="1" applyFont="1" applyFill="1" applyBorder="1" applyAlignment="1">
      <x:alignment vertical="center"/>
    </x:xf>
    <x:xf numFmtId="207" fontId="4" fillId="0" borderId="5" xfId="0" applyNumberFormat="1" applyFont="1" applyFill="1" applyBorder="1" applyAlignment="1">
      <x:alignment vertical="center"/>
    </x:xf>
    <x:xf numFmtId="207" fontId="4" fillId="0" borderId="6" xfId="0" applyNumberFormat="1" applyFont="1" applyFill="1" applyBorder="1" applyAlignment="1">
      <x:alignment vertical="center"/>
    </x:xf>
    <x:xf numFmtId="202" fontId="4" fillId="0" borderId="4" xfId="0" applyNumberFormat="1" applyFont="1" applyFill="1" applyBorder="1" applyAlignment="1">
      <x:alignment vertical="center"/>
    </x:xf>
    <x:xf numFmtId="202" fontId="4" fillId="0" borderId="5" xfId="0" applyNumberFormat="1" applyFont="1" applyFill="1" applyBorder="1" applyAlignment="1">
      <x:alignment vertical="center"/>
    </x:xf>
    <x:xf numFmtId="202" fontId="4" fillId="0" borderId="6" xfId="0" applyNumberFormat="1" applyFont="1" applyFill="1" applyBorder="1" applyAlignment="1">
      <x:alignment vertical="center"/>
    </x:xf>
    <x:xf numFmtId="0" fontId="8" fillId="0" borderId="4" xfId="0" applyNumberFormat="1" applyFont="1" applyFill="1" applyBorder="1" applyAlignment="1">
      <x:alignment vertical="center" wrapText="1"/>
    </x:xf>
    <x:xf numFmtId="0" fontId="8" fillId="0" borderId="5" xfId="0" applyNumberFormat="1" applyFont="1" applyFill="1" applyBorder="1" applyAlignment="1">
      <x:alignment vertical="center" wrapText="1"/>
    </x:xf>
    <x:xf numFmtId="0" fontId="8" fillId="0" borderId="6" xfId="0" applyNumberFormat="1" applyFont="1" applyFill="1" applyBorder="1" applyAlignment="1">
      <x:alignment vertical="center" wrapText="1"/>
    </x:xf>
    <x:xf numFmtId="204" fontId="4" fillId="0" borderId="4" xfId="0" applyNumberFormat="1" applyFont="1" applyFill="1" applyBorder="1" applyAlignment="1">
      <x:alignment vertical="center"/>
    </x:xf>
    <x:xf numFmtId="204" fontId="4" fillId="0" borderId="5" xfId="0" applyNumberFormat="1" applyFont="1" applyFill="1" applyBorder="1" applyAlignment="1">
      <x:alignment vertical="center"/>
    </x:xf>
    <x:xf numFmtId="204" fontId="4" fillId="0" borderId="6" xfId="0" applyNumberFormat="1" applyFont="1" applyFill="1" applyBorder="1" applyAlignment="1">
      <x:alignment vertical="center"/>
    </x:xf>
    <x:xf numFmtId="0" fontId="0" fillId="5" borderId="0" xfId="0" applyNumberFormat="1" applyFont="1" applyFill="1" applyBorder="1"/>
    <x:xf numFmtId="0" fontId="9" fillId="5" borderId="0" xfId="0" applyNumberFormat="1" applyFont="1" applyFill="1" applyBorder="1"/>
    <x:xf numFmtId="208" fontId="4" fillId="0" borderId="4" xfId="0" applyNumberFormat="1" applyFont="1" applyFill="1" applyBorder="1" applyAlignment="1">
      <x:alignment vertical="center"/>
    </x:xf>
    <x:xf numFmtId="208" fontId="4" fillId="0" borderId="5" xfId="0" applyNumberFormat="1" applyFont="1" applyFill="1" applyBorder="1" applyAlignment="1">
      <x:alignment vertical="center"/>
    </x:xf>
    <x:xf numFmtId="208" fontId="4" fillId="0" borderId="6" xfId="0" applyNumberFormat="1" applyFont="1" applyFill="1" applyBorder="1" applyAlignment="1">
      <x:alignment vertical="center"/>
    </x:xf>
    <x:xf numFmtId="0" fontId="8" fillId="0" borderId="4" xfId="0" applyNumberFormat="1" applyFont="1" applyFill="1" applyBorder="1" applyAlignment="1">
      <x:alignment vertical="center"/>
    </x:xf>
    <x:xf numFmtId="0" fontId="8" fillId="0" borderId="5" xfId="0" applyNumberFormat="1" applyFont="1" applyFill="1" applyBorder="1" applyAlignment="1">
      <x:alignment vertical="center"/>
    </x:xf>
    <x:xf numFmtId="0" fontId="8" fillId="0" borderId="6" xfId="0" applyNumberFormat="1" applyFont="1" applyFill="1" applyBorder="1" applyAlignment="1">
      <x:alignment vertical="center"/>
    </x:xf>
    <x:xf numFmtId="209" fontId="4" fillId="0" borderId="4" xfId="0" applyNumberFormat="1" applyFont="1" applyFill="1" applyBorder="1" applyAlignment="1">
      <x:alignment vertical="center"/>
    </x:xf>
  </x:cellXfs>
  <x:cellStyles count="1">
    <x:cellStyle name="Normal" xfId="0"/>
  </x:cellStyles>
  <x:dxfs count="11">
    <x:dxf>
      <x:font>
        <x:b/>
        <x:color rgb="FF15803D"/>
      </x:font>
      <x:fill>
        <x:patternFill patternType="solid">
          <x:bgColor rgb="FFDCFCE7"/>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15803D"/>
      </x:font>
      <x:fill>
        <x:patternFill patternType="solid">
          <x:bgColor rgb="FFDCFCE7"/>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15803D"/>
      </x:font>
      <x:fill>
        <x:patternFill patternType="solid">
          <x:bgColor rgb="FFDCFCE7"/>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15803D"/>
      </x:font>
      <x:fill>
        <x:patternFill patternType="solid">
          <x:bgColor rgb="FFDCFCE7"/>
        </x:patternFill>
      </x:fill>
    </x:dxf>
    <x:dxf>
      <x:font>
        <x:b/>
        <x:color rgb="FFB91C1C"/>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445700d38648c9" /><Relationship Type="http://schemas.openxmlformats.org/officeDocument/2006/relationships/theme" Target="/xl/theme/theme1.xml" Id="R068a6b6f90de4bdb" /><Relationship Type="http://schemas.openxmlformats.org/officeDocument/2006/relationships/sharedStrings" Target="/xl/sharedStrings.xml" Id="R192faf80277b4940" /><Relationship Type="http://schemas.openxmlformats.org/officeDocument/2006/relationships/worksheet" Target="/xl/worksheets/sheet1.xml" Id="Raadeb82107584552" /><Relationship Type="http://schemas.openxmlformats.org/officeDocument/2006/relationships/worksheet" Target="/xl/worksheets/sheet2.xml" Id="R6f40f666480649fd" /><Relationship Type="http://schemas.openxmlformats.org/officeDocument/2006/relationships/worksheet" Target="/xl/worksheets/sheet3.xml" Id="Rfee8d74be5b74ef3" /><Relationship Type="http://schemas.openxmlformats.org/officeDocument/2006/relationships/worksheet" Target="/xl/worksheets/sheet4.xml" Id="R4595a60bba2d4a7f" /><Relationship Type="http://schemas.openxmlformats.org/officeDocument/2006/relationships/worksheet" Target="/xl/worksheets/sheet5.xml" Id="R214db69ef7b843ce" /><Relationship Type="http://schemas.openxmlformats.org/officeDocument/2006/relationships/worksheet" Target="/xl/worksheets/sheet6.xml" Id="Ra244c662ba6c43e3" /><Relationship Type="http://schemas.openxmlformats.org/officeDocument/2006/relationships/worksheet" Target="/xl/worksheets/sheet7.xml" Id="R795064e7cea04033" /><Relationship Type="http://schemas.openxmlformats.org/officeDocument/2006/relationships/worksheet" Target="/xl/worksheets/sheet8.xml" Id="Rac25d11ea8a64ada" /><Relationship Type="http://schemas.microsoft.com/office/2017/10/relationships/person" Target="/xl/persons/person.xml" Id="R770ba224500f4989" /></Relationships>
</file>

<file path=xl/drawings/_rels/drawing1.xml.rels>&#65279;<?xml version="1.0" encoding="utf-8"?><Relationships xmlns="http://schemas.openxmlformats.org/package/2006/relationships"><Relationship Type="http://schemas.openxmlformats.org/officeDocument/2006/relationships/chart" Target="/xl/drawings/charts/chart1.xml" Id="Rd10f803244c4471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20거래일 방향 보정 수익률</a:t>
            </a:r>
          </a:p>
        </c:rich>
      </c:tx>
      <c:overlay val="0"/>
    </c:title>
    <c:plotArea>
      <c:barChart>
        <c:barDir val="col"/>
        <c:varyColors val="0"/>
        <c:ser>
          <c:idx val="0"/>
          <c:order val="0"/>
          <c:tx>
            <c:v>20D 방향 보정 수익률</c:v>
          </c:tx>
          <c:cat>
            <c:strRef>
              <c:f>'Summary'!$A$18:$A$32</c:f>
              <c:strCache>
                <c:ptCount val="0"/>
              </c:strCache>
            </c:strRef>
          </c:cat>
          <c:val>
            <c:numRef>
              <c:f>'Summary'!$B$18:$B$32</c:f>
              <c:numCache>
                <c:formatCode>0.0%;[Red](0.0%);-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16</xdr:row>
      <xdr:rowOff>0</xdr:rowOff>
    </xdr:from>
    <xdr:to>
      <xdr:col>12</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0f803244c44710"/>
        </a:graphicData>
      </a:graphic>
    </xdr:graphicFrame>
    <xdr:clientData/>
  </xdr:twoCellAnchor>
</xdr:wsDr>
</file>

<file path=xl/persons/person.xml><?xml version="1.0" encoding="utf-8"?>
<xltc:personList xmlns:xltc="http://schemas.microsoft.com/office/spreadsheetml/2018/threadedcomments">
  <xltc:person displayName="Hyeongmin" id="{774AFE0A-C810-4BA4-B6ED-BA9E5B859295}"/>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22d0d7f366e44b1"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36" customHeight="1">
      <x:c r="A1" s="3" t="str">
        <x:v>Serenity 종합 신호 방법론 검증 · Release 0</x:v>
      </x:c>
      <x:c r="B1" s="3" t="str">
        <x:v>Serenity 종합 신호 방법론 검증 · Release 0</x:v>
      </x:c>
      <x:c r="C1" s="3" t="str">
        <x:v>Serenity 종합 신호 방법론 검증 · Release 0</x:v>
      </x:c>
      <x:c r="D1" s="3" t="str">
        <x:v>Serenity 종합 신호 방법론 검증 · Release 0</x:v>
      </x:c>
      <x:c r="E1" s="3" t="str">
        <x:v>Serenity 종합 신호 방법론 검증 · Release 0</x:v>
      </x:c>
      <x:c r="F1" s="3" t="str">
        <x:v>Serenity 종합 신호 방법론 검증 · Release 0</x:v>
      </x:c>
      <x:c r="G1" s="3" t="str">
        <x:v>Serenity 종합 신호 방법론 검증 · Release 0</x:v>
      </x:c>
      <x:c r="H1" s="3" t="str">
        <x:v>Serenity 종합 신호 방법론 검증 · Release 0</x:v>
      </x:c>
    </x:row>
    <x:row r="2">
      <x:c r="A2" s="6" t="str">
        <x:v>실제 인플루언서 분석 기록과 일별 가격을 재생해, 종합 신호 이후 방향 결과가 재현 가능한지 검증합니다.</x:v>
      </x:c>
      <x:c r="B2" s="6" t="str">
        <x:v>실제 인플루언서 분석 기록과 일별 가격을 재생해, 종합 신호 이후 방향 결과가 재현 가능한지 검증합니다.</x:v>
      </x:c>
      <x:c r="C2" s="6" t="str">
        <x:v>실제 인플루언서 분석 기록과 일별 가격을 재생해, 종합 신호 이후 방향 결과가 재현 가능한지 검증합니다.</x:v>
      </x:c>
      <x:c r="D2" s="6" t="str">
        <x:v>실제 인플루언서 분석 기록과 일별 가격을 재생해, 종합 신호 이후 방향 결과가 재현 가능한지 검증합니다.</x:v>
      </x:c>
      <x:c r="E2" s="6" t="str">
        <x:v>실제 인플루언서 분석 기록과 일별 가격을 재생해, 종합 신호 이후 방향 결과가 재현 가능한지 검증합니다.</x:v>
      </x:c>
      <x:c r="F2" s="6" t="str">
        <x:v>실제 인플루언서 분석 기록과 일별 가격을 재생해, 종합 신호 이후 방향 결과가 재현 가능한지 검증합니다.</x:v>
      </x:c>
      <x:c r="G2" s="6" t="str">
        <x:v>실제 인플루언서 분석 기록과 일별 가격을 재생해, 종합 신호 이후 방향 결과가 재현 가능한지 검증합니다.</x:v>
      </x:c>
      <x:c r="H2" s="6" t="str">
        <x:v>실제 인플루언서 분석 기록과 일별 가격을 재생해, 종합 신호 이후 방향 결과가 재현 가능한지 검증합니다.</x:v>
      </x:c>
    </x:row>
    <x:row r="4" ht="32" customHeight="1">
      <x:c r="A4" s="15" t="str">
        <x:v>종목</x:v>
      </x:c>
      <x:c r="B4" s="16" t="str">
        <x:v>현재 종합 상태</x:v>
      </x:c>
      <x:c r="C4" s="16" t="str">
        <x:v>방향 분석가</x:v>
      </x:c>
      <x:c r="D4" s="16" t="str">
        <x:v>신호 이벤트</x:v>
      </x:c>
      <x:c r="E4" s="16" t="str">
        <x:v>20D 평가 가능</x:v>
      </x:c>
      <x:c r="F4" s="16" t="str">
        <x:v>20D 방향 일치</x:v>
      </x:c>
      <x:c r="G4" s="16" t="str">
        <x:v>20D 적중률</x:v>
      </x:c>
      <x:c r="H4" s="17" t="str">
        <x:v>표시 원칙</x:v>
      </x:c>
    </x:row>
    <x:row r="5">
      <x:c r="A5" s="22" t="str">
        <x:v>COHR</x:v>
      </x:c>
      <x:c r="B5" s="22" t="str">
        <x:v>positive</x:v>
      </x:c>
      <x:c r="C5" s="29" t="n">
        <x:v>2</x:v>
      </x:c>
      <x:c r="D5" s="29" t="n">
        <x:f>COUNTIF('Signal Events'!$B$6:$B$205,A5)</x:f>
        <x:v>1</x:v>
      </x:c>
      <x:c r="E5" s="29" t="n">
        <x:f>COUNTIFS('Signal Events'!$B$6:$B$205,A5,'Signal Events'!$Z$6:$Z$205,"방향 일치")+COUNTIFS('Signal Events'!$B$6:$B$205,A5,'Signal Events'!$Z$6:$Z$205,"방향 불일치")+COUNTIFS('Signal Events'!$B$6:$B$205,A5,'Signal Events'!$Z$6:$Z$205,"보합")</x:f>
        <x:v>0</x:v>
      </x:c>
      <x:c r="F5" s="29" t="n">
        <x:f>COUNTIFS('Signal Events'!$B$6:$B$205,A5,'Signal Events'!$Z$6:$Z$205,"방향 일치")</x:f>
        <x:v>0</x:v>
      </x:c>
      <x:c r="G5" s="33" t="str">
        <x:f>IF(E5&gt;='Assumptions'!$B$11,F5/E5,"")</x:f>
      </x:c>
      <x:c r="H5" s="22" t="str">
        <x:f>IF(E5&gt;='Assumptions'!$B$11,TEXT(G5,"0%")&amp;" · "&amp;F5&amp;"/"&amp;E5,"표본 "&amp;E5&amp;"건 · 판단 보류")</x:f>
        <x:v>표본 0건 · 판단 보류</x:v>
      </x:c>
    </x:row>
    <x:row r="6">
      <x:c r="A6" s="23" t="str">
        <x:v>AAOI</x:v>
      </x:c>
      <x:c r="B6" s="23" t="str">
        <x:v>positive</x:v>
      </x:c>
      <x:c r="C6" s="30" t="n">
        <x:v>2</x:v>
      </x:c>
      <x:c r="D6" s="30" t="n">
        <x:f>COUNTIF('Signal Events'!$B$6:$B$205,A6)</x:f>
        <x:v>5</x:v>
      </x:c>
      <x:c r="E6" s="30" t="n">
        <x:f>COUNTIFS('Signal Events'!$B$6:$B$205,A6,'Signal Events'!$Z$6:$Z$205,"방향 일치")+COUNTIFS('Signal Events'!$B$6:$B$205,A6,'Signal Events'!$Z$6:$Z$205,"방향 불일치")+COUNTIFS('Signal Events'!$B$6:$B$205,A6,'Signal Events'!$Z$6:$Z$205,"보합")</x:f>
        <x:v>2</x:v>
      </x:c>
      <x:c r="F6" s="30" t="n">
        <x:f>COUNTIFS('Signal Events'!$B$6:$B$205,A6,'Signal Events'!$Z$6:$Z$205,"방향 일치")</x:f>
        <x:v>0</x:v>
      </x:c>
      <x:c r="G6" s="34" t="str">
        <x:f>IF(E6&gt;='Assumptions'!$B$11,F6/E6,"")</x:f>
      </x:c>
      <x:c r="H6" s="23" t="str">
        <x:f>IF(E6&gt;='Assumptions'!$B$11,TEXT(G6,"0%")&amp;" · "&amp;F6&amp;"/"&amp;E6,"표본 "&amp;E6&amp;"건 · 판단 보류")</x:f>
        <x:v>표본 2건 · 판단 보류</x:v>
      </x:c>
    </x:row>
    <x:row r="7">
      <x:c r="A7" s="23" t="str">
        <x:v>LITE</x:v>
      </x:c>
      <x:c r="B7" s="23" t="str">
        <x:v>positive</x:v>
      </x:c>
      <x:c r="C7" s="30" t="n">
        <x:v>2</x:v>
      </x:c>
      <x:c r="D7" s="30" t="n">
        <x:f>COUNTIF('Signal Events'!$B$6:$B$205,A7)</x:f>
        <x:v>1</x:v>
      </x:c>
      <x:c r="E7" s="30" t="n">
        <x:f>COUNTIFS('Signal Events'!$B$6:$B$205,A7,'Signal Events'!$Z$6:$Z$205,"방향 일치")+COUNTIFS('Signal Events'!$B$6:$B$205,A7,'Signal Events'!$Z$6:$Z$205,"방향 불일치")+COUNTIFS('Signal Events'!$B$6:$B$205,A7,'Signal Events'!$Z$6:$Z$205,"보합")</x:f>
        <x:v>0</x:v>
      </x:c>
      <x:c r="F7" s="30" t="n">
        <x:f>COUNTIFS('Signal Events'!$B$6:$B$205,A7,'Signal Events'!$Z$6:$Z$205,"방향 일치")</x:f>
        <x:v>0</x:v>
      </x:c>
      <x:c r="G7" s="34" t="str">
        <x:f>IF(E7&gt;='Assumptions'!$B$11,F7/E7,"")</x:f>
      </x:c>
      <x:c r="H7" s="23" t="str">
        <x:f>IF(E7&gt;='Assumptions'!$B$11,TEXT(G7,"0%")&amp;" · "&amp;F7&amp;"/"&amp;E7,"표본 "&amp;E7&amp;"건 · 판단 보류")</x:f>
        <x:v>표본 0건 · 판단 보류</x:v>
      </x:c>
    </x:row>
    <x:row r="8">
      <x:c r="A8" s="23" t="str">
        <x:v>NVDA</x:v>
      </x:c>
      <x:c r="B8" s="23" t="str">
        <x:v>positive</x:v>
      </x:c>
      <x:c r="C8" s="30" t="n">
        <x:v>4</x:v>
      </x:c>
      <x:c r="D8" s="30" t="n">
        <x:f>COUNTIF('Signal Events'!$B$6:$B$205,A8)</x:f>
        <x:v>6</x:v>
      </x:c>
      <x:c r="E8" s="30" t="n">
        <x:f>COUNTIFS('Signal Events'!$B$6:$B$205,A8,'Signal Events'!$Z$6:$Z$205,"방향 일치")+COUNTIFS('Signal Events'!$B$6:$B$205,A8,'Signal Events'!$Z$6:$Z$205,"방향 불일치")+COUNTIFS('Signal Events'!$B$6:$B$205,A8,'Signal Events'!$Z$6:$Z$205,"보합")</x:f>
        <x:v>3</x:v>
      </x:c>
      <x:c r="F8" s="30" t="n">
        <x:f>COUNTIFS('Signal Events'!$B$6:$B$205,A8,'Signal Events'!$Z$6:$Z$205,"방향 일치")</x:f>
        <x:v>0</x:v>
      </x:c>
      <x:c r="G8" s="34" t="str">
        <x:f>IF(E8&gt;='Assumptions'!$B$11,F8/E8,"")</x:f>
      </x:c>
      <x:c r="H8" s="23" t="str">
        <x:f>IF(E8&gt;='Assumptions'!$B$11,TEXT(G8,"0%")&amp;" · "&amp;F8&amp;"/"&amp;E8,"표본 "&amp;E8&amp;"건 · 판단 보류")</x:f>
        <x:v>표본 3건 · 판단 보류</x:v>
      </x:c>
    </x:row>
    <x:row r="9">
      <x:c r="A9" s="24" t="str">
        <x:v>ASTS</x:v>
      </x:c>
      <x:c r="B9" s="24" t="str">
        <x:v>positive</x:v>
      </x:c>
      <x:c r="C9" s="31" t="n">
        <x:v>2</x:v>
      </x:c>
      <x:c r="D9" s="31" t="n">
        <x:f>COUNTIF('Signal Events'!$B$6:$B$205,A9)</x:f>
        <x:v>2</x:v>
      </x:c>
      <x:c r="E9" s="31" t="n">
        <x:f>COUNTIFS('Signal Events'!$B$6:$B$205,A9,'Signal Events'!$Z$6:$Z$205,"방향 일치")+COUNTIFS('Signal Events'!$B$6:$B$205,A9,'Signal Events'!$Z$6:$Z$205,"방향 불일치")+COUNTIFS('Signal Events'!$B$6:$B$205,A9,'Signal Events'!$Z$6:$Z$205,"보합")</x:f>
        <x:v>0</x:v>
      </x:c>
      <x:c r="F9" s="31" t="n">
        <x:f>COUNTIFS('Signal Events'!$B$6:$B$205,A9,'Signal Events'!$Z$6:$Z$205,"방향 일치")</x:f>
        <x:v>0</x:v>
      </x:c>
      <x:c r="G9" s="35" t="str">
        <x:f>IF(E9&gt;='Assumptions'!$B$11,F9/E9,"")</x:f>
      </x:c>
      <x:c r="H9" s="24" t="str">
        <x:f>IF(E9&gt;='Assumptions'!$B$11,TEXT(G9,"0%")&amp;" · "&amp;F9&amp;"/"&amp;E9,"표본 "&amp;E9&amp;"건 · 판단 보류")</x:f>
        <x:v>표본 0건 · 판단 보류</x:v>
      </x:c>
    </x:row>
    <x:row r="10">
      <x:c r="A10" s="28" t="str">
        <x:v>전체(검증)</x:v>
      </x:c>
      <x:c r="B10" s="28" t="str">
        <x:v>—</x:v>
      </x:c>
      <x:c r="C10" s="32"/>
      <x:c r="D10" s="32" t="n">
        <x:f>SUM(D5:D9)</x:f>
        <x:v>15</x:v>
      </x:c>
      <x:c r="E10" s="32" t="n">
        <x:f>SUM(E5:E9)</x:f>
        <x:v>5</x:v>
      </x:c>
      <x:c r="F10" s="32" t="n">
        <x:f>SUM(F5:F9)</x:f>
        <x:v>0</x:v>
      </x:c>
      <x:c r="G10" s="36" t="n">
        <x:f>IF(E10&gt;='Assumptions'!$B$11,F10/E10,"")</x:f>
        <x:v>0</x:v>
      </x:c>
      <x:c r="H10" s="28" t="str">
        <x:f>IF(E10&gt;='Assumptions'!$B$11,TEXT(G10,"0%")&amp;" · "&amp;F10&amp;"/"&amp;E10,"표본 "&amp;E10&amp;"건 · 판단 보류")</x:f>
        <x:v>0% · 0/5</x:v>
      </x:c>
    </x:row>
    <x:row r="11" ht="25" customHeight="1">
      <x:c r="A11" s="38" t="str">
        <x:v>Release 0 결론</x:v>
      </x:c>
      <x:c r="B11" s="38" t="str">
        <x:v>Release 0 결론</x:v>
      </x:c>
      <x:c r="C11" s="38" t="str">
        <x:v>Release 0 결론</x:v>
      </x:c>
      <x:c r="D11" s="38" t="str">
        <x:v>Release 0 결론</x:v>
      </x:c>
    </x:row>
    <x:row r="12">
      <x:c r="A12" s="39" t="str">
        <x:v>계산 재현성</x:v>
      </x:c>
      <x:c r="B12" s="22" t="str">
        <x:v>PASS · 동일 입력과 버전으로 replay 가능</x:v>
      </x:c>
    </x:row>
    <x:row r="13">
      <x:c r="A13" s="40" t="str">
        <x:v>임계값 정의</x:v>
      </x:c>
      <x:c r="B13" s="23" t="str">
        <x:v>수정 · 0.67 → 정확한 2/3</x:v>
      </x:c>
    </x:row>
    <x:row r="14">
      <x:c r="A14" s="40" t="str">
        <x:v>성과 노출</x:v>
      </x:c>
      <x:c r="B14" s="23" t="str">
        <x:v>조건부 진행 · 표본 5건 미만은 적중률 숨김</x:v>
      </x:c>
    </x:row>
    <x:row r="15">
      <x:c r="A15" s="41" t="str">
        <x:v>가격 데이터</x:v>
      </x:c>
      <x:c r="B15" s="24" t="str">
        <x:v>R0 검증용 · 운영 공개 전 라이선스 확정 필요</x:v>
      </x:c>
    </x:row>
    <x:row r="17" ht="32" customHeight="1">
      <x:c r="A17" s="15" t="str">
        <x:v>신호</x:v>
      </x:c>
      <x:c r="B17" s="17" t="str">
        <x:v>20D 방향 보정 수익률</x:v>
      </x:c>
    </x:row>
    <x:row r="18">
      <x:c r="A18" t="str">
        <x:f>'Signal Events'!B6&amp;" "&amp;TEXT('Signal Events'!C6,"mm-dd")</x:f>
        <x:v>COHR 07-26</x:v>
      </x:c>
      <x:c r="B18" s="42" t="n">
        <x:f>'Signal Events'!Y6</x:f>
        <x:v>0</x:v>
      </x:c>
    </x:row>
    <x:row r="19">
      <x:c r="A19" t="str">
        <x:f>'Signal Events'!B7&amp;" "&amp;TEXT('Signal Events'!C7,"mm-dd")</x:f>
        <x:v>AAOI 06-05</x:v>
      </x:c>
      <x:c r="B19" s="42" t="n">
        <x:f>'Signal Events'!Y7</x:f>
        <x:v>-0.35555322437379144</x:v>
      </x:c>
    </x:row>
    <x:row r="20">
      <x:c r="A20" t="str">
        <x:f>'Signal Events'!B8&amp;" "&amp;TEXT('Signal Events'!C8,"mm-dd")</x:f>
        <x:v>AAOI 06-25</x:v>
      </x:c>
      <x:c r="B20" s="42" t="n">
        <x:f>'Signal Events'!Y8</x:f>
        <x:v>-0.23944405303495575</x:v>
      </x:c>
    </x:row>
    <x:row r="21">
      <x:c r="A21" t="str">
        <x:f>'Signal Events'!B9&amp;" "&amp;TEXT('Signal Events'!C9,"mm-dd")</x:f>
        <x:v>AAOI 07-13</x:v>
      </x:c>
      <x:c r="B21" s="42" t="n">
        <x:f>'Signal Events'!Y9</x:f>
        <x:v>0</x:v>
      </x:c>
    </x:row>
    <x:row r="22">
      <x:c r="A22" t="str">
        <x:f>'Signal Events'!B10&amp;" "&amp;TEXT('Signal Events'!C10,"mm-dd")</x:f>
        <x:v>AAOI 07-17</x:v>
      </x:c>
      <x:c r="B22" s="42" t="n">
        <x:f>'Signal Events'!Y10</x:f>
        <x:v>0</x:v>
      </x:c>
    </x:row>
    <x:row r="23">
      <x:c r="A23" t="str">
        <x:f>'Signal Events'!B11&amp;" "&amp;TEXT('Signal Events'!C11,"mm-dd")</x:f>
        <x:v>AAOI 07-30</x:v>
      </x:c>
      <x:c r="B23" s="42" t="n">
        <x:f>'Signal Events'!Y11</x:f>
        <x:v>0</x:v>
      </x:c>
    </x:row>
    <x:row r="24">
      <x:c r="A24" t="str">
        <x:f>'Signal Events'!B12&amp;" "&amp;TEXT('Signal Events'!C12,"mm-dd")</x:f>
        <x:v>LITE 07-26</x:v>
      </x:c>
      <x:c r="B24" s="42" t="n">
        <x:f>'Signal Events'!Y12</x:f>
        <x:v>0</x:v>
      </x:c>
    </x:row>
    <x:row r="25">
      <x:c r="A25" t="str">
        <x:f>'Signal Events'!B13&amp;" "&amp;TEXT('Signal Events'!C13,"mm-dd")</x:f>
        <x:v>NVDA 06-05</x:v>
      </x:c>
      <x:c r="B25" s="42" t="n">
        <x:f>'Signal Events'!Y13</x:f>
        <x:v>-0.06304120497539045</x:v>
      </x:c>
    </x:row>
    <x:row r="26">
      <x:c r="A26" t="str">
        <x:f>'Signal Events'!B14&amp;" "&amp;TEXT('Signal Events'!C14,"mm-dd")</x:f>
        <x:v>NVDA 06-10</x:v>
      </x:c>
      <x:c r="B26" s="42" t="n">
        <x:f>'Signal Events'!Y14</x:f>
        <x:v>-0.008071192856232257</x:v>
      </x:c>
    </x:row>
    <x:row r="27">
      <x:c r="A27" t="str">
        <x:f>'Signal Events'!B15&amp;" "&amp;TEXT('Signal Events'!C15,"mm-dd")</x:f>
        <x:v>NVDA 06-16</x:v>
      </x:c>
      <x:c r="B27" s="42" t="n">
        <x:f>'Signal Events'!Y15</x:f>
        <x:v>-0.005418908020080493</x:v>
      </x:c>
    </x:row>
    <x:row r="28">
      <x:c r="A28" t="str">
        <x:f>'Signal Events'!B16&amp;" "&amp;TEXT('Signal Events'!C16,"mm-dd")</x:f>
        <x:v>NVDA 07-25</x:v>
      </x:c>
      <x:c r="B28" s="42" t="n">
        <x:f>'Signal Events'!Y16</x:f>
        <x:v>0</x:v>
      </x:c>
    </x:row>
    <x:row r="29">
      <x:c r="A29" t="str">
        <x:f>'Signal Events'!B17&amp;" "&amp;TEXT('Signal Events'!C17,"mm-dd")</x:f>
        <x:v>NVDA 07-27</x:v>
      </x:c>
      <x:c r="B29" s="42" t="n">
        <x:f>'Signal Events'!Y17</x:f>
        <x:v>0</x:v>
      </x:c>
    </x:row>
    <x:row r="30">
      <x:c r="A30" t="str">
        <x:f>'Signal Events'!B18&amp;" "&amp;TEXT('Signal Events'!C18,"mm-dd")</x:f>
        <x:v>NVDA 07-27</x:v>
      </x:c>
      <x:c r="B30" s="42" t="n">
        <x:f>'Signal Events'!Y18</x:f>
        <x:v>0</x:v>
      </x:c>
    </x:row>
    <x:row r="31">
      <x:c r="A31" t="str">
        <x:f>'Signal Events'!B19&amp;" "&amp;TEXT('Signal Events'!C19,"mm-dd")</x:f>
        <x:v>ASTS 07-08</x:v>
      </x:c>
      <x:c r="B31" s="42" t="n">
        <x:f>'Signal Events'!Y19</x:f>
        <x:v>0</x:v>
      </x:c>
    </x:row>
    <x:row r="32">
      <x:c r="A32" t="str">
        <x:f>'Signal Events'!B20&amp;" "&amp;TEXT('Signal Events'!C20,"mm-dd")</x:f>
        <x:v>ASTS 07-24</x:v>
      </x:c>
      <x:c r="B32" s="42" t="n">
        <x:f>'Signal Events'!Y20</x:f>
        <x:v>0</x:v>
      </x:c>
    </x:row>
  </x:sheetData>
  <x:mergeCells>
    <x:mergeCell ref="A1:H1"/>
    <x:mergeCell ref="A2:H2"/>
    <x:mergeCell ref="A11:D11"/>
  </x:mergeCells>
  <x:pageMargins left="0.7" right="0.7" top="0.75" bottom="0.75" header="0.3" footer="0.3"/>
  <x:drawing xmlns:r="http://schemas.openxmlformats.org/officeDocument/2006/relationships" r:id="R422d0d7f366e44b1"/>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31" hidden="0" customWidth="1"/>
    <x:col min="3" max="3" width="34" hidden="0" customWidth="1"/>
    <x:col min="4" max="4" width="13" hidden="0" customWidth="1"/>
    <x:col min="5" max="5" width="29" hidden="0" customWidth="1"/>
    <x:col min="6" max="6" width="29" hidden="0" customWidth="1"/>
  </x:cols>
  <x:sheetData>
    <x:row r="1" ht="36" customHeight="1">
      <x:c r="A1" s="3" t="str">
        <x:v>계산 가정과 위험 점검</x:v>
      </x:c>
      <x:c r="B1" s="3" t="str">
        <x:v>계산 가정과 위험 점검</x:v>
      </x:c>
      <x:c r="C1" s="3" t="str">
        <x:v>계산 가정과 위험 점검</x:v>
      </x:c>
      <x:c r="D1" s="3" t="str">
        <x:v>계산 가정과 위험 점검</x:v>
      </x:c>
      <x:c r="E1" s="3" t="str">
        <x:v>계산 가정과 위험 점검</x:v>
      </x:c>
      <x:c r="F1" s="3" t="str">
        <x:v>계산 가정과 위험 점검</x:v>
      </x:c>
    </x:row>
    <x:row r="3" ht="32" customHeight="1">
      <x:c r="A3" s="15" t="str">
        <x:v>계산 파라미터</x:v>
      </x:c>
      <x:c r="B3" s="17" t="str">
        <x:v>값</x:v>
      </x:c>
    </x:row>
    <x:row r="4">
      <x:c r="A4" s="22" t="str">
        <x:v>계산 버전</x:v>
      </x:c>
      <x:c r="B4" s="43" t="str">
        <x:v>signal-v1.1-r0</x:v>
      </x:c>
    </x:row>
    <x:row r="5">
      <x:c r="A5" s="23" t="str">
        <x:v>방향 합의 임계값</x:v>
      </x:c>
      <x:c r="B5" s="46" t="n">
        <x:v>0.6666666666666666</x:v>
      </x:c>
    </x:row>
    <x:row r="6">
      <x:c r="A6" s="23" t="str">
        <x:v>최소 방향 분석가</x:v>
      </x:c>
      <x:c r="B6" s="44" t="n">
        <x:v>2</x:v>
      </x:c>
    </x:row>
    <x:row r="7">
      <x:c r="A7" s="23" t="str">
        <x:v>stance confidence 하한</x:v>
      </x:c>
      <x:c r="B7" s="47" t="n">
        <x:v>0.75</x:v>
      </x:c>
    </x:row>
    <x:row r="8">
      <x:c r="A8" s="23" t="str">
        <x:v>의견 TTL (일)</x:v>
      </x:c>
      <x:c r="B8" s="44" t="n">
        <x:v>90</x:v>
      </x:c>
    </x:row>
    <x:row r="9">
      <x:c r="A9" s="23" t="str">
        <x:v>보합 밴드 (±)</x:v>
      </x:c>
      <x:c r="B9" s="48" t="n">
        <x:v>0.02</x:v>
      </x:c>
    </x:row>
    <x:row r="10">
      <x:c r="A10" s="23" t="str">
        <x:v>기본 평가 기간 (거래일)</x:v>
      </x:c>
      <x:c r="B10" s="44" t="n">
        <x:v>20</x:v>
      </x:c>
    </x:row>
    <x:row r="11">
      <x:c r="A11" s="23" t="str">
        <x:v>적중률 표시 최소 표본</x:v>
      </x:c>
      <x:c r="B11" s="44" t="n">
        <x:v>5</x:v>
      </x:c>
    </x:row>
    <x:row r="12">
      <x:c r="A12" s="24" t="str">
        <x:v>기준가</x:v>
      </x:c>
      <x:c r="B12" s="45" t="str">
        <x:v>신호 이후 첫 정규 세션의 수정 시가</x:v>
      </x:c>
    </x:row>
    <x:row r="14" ht="32" customHeight="1">
      <x:c r="A14" s="15" t="str">
        <x:v>위험 영역</x:v>
      </x:c>
      <x:c r="B14" s="16" t="str">
        <x:v>검증 가정</x:v>
      </x:c>
      <x:c r="C14" s="16" t="str">
        <x:v>무엇이 잘못될 수 있나</x:v>
      </x:c>
      <x:c r="D14" s="16" t="str">
        <x:v>초기 확신</x:v>
      </x:c>
      <x:c r="E14" s="16" t="str">
        <x:v>테스트</x:v>
      </x:c>
      <x:c r="F14" s="17" t="str">
        <x:v>Release 0 결과</x:v>
      </x:c>
    </x:row>
    <x:row r="15">
      <x:c r="A15" s="22" t="str">
        <x:v>Value</x:v>
      </x:c>
      <x:c r="B15" s="49" t="str">
        <x:v>사용자는 실시간 가격보다 신호 이후 방향 결과를 더 중요하게 본다</x:v>
      </x:c>
      <x:c r="C15" s="49" t="str">
        <x:v>결과 정보가 있어도 사용자가 기존 언급량만 볼 수 있음</x:v>
      </x:c>
      <x:c r="D15" s="22" t="str">
        <x:v>High</x:v>
      </x:c>
      <x:c r="E15" s="49" t="str">
        <x:v>기획 인터뷰 확인</x:v>
      </x:c>
      <x:c r="F15" s="49" t="str">
        <x:v>확인 · 사용자가 핵심 신호라고 명시</x:v>
      </x:c>
    </x:row>
    <x:row r="16">
      <x:c r="A16" s="23" t="str">
        <x:v>Usability</x:v>
      </x:c>
      <x:c r="B16" s="50" t="str">
        <x:v>방향 일치/불일치와 표본 건수를 10초 안에 이해한다</x:v>
      </x:c>
      <x:c r="C16" s="50" t="str">
        <x:v>적중률을 투자 추천 또는 보장으로 오해할 수 있음</x:v>
      </x:c>
      <x:c r="D16" s="23" t="str">
        <x:v>Medium</x:v>
      </x:c>
      <x:c r="E16" s="50" t="str">
        <x:v>5종목 태스크 테스트</x:v>
      </x:c>
      <x:c r="F16" s="50" t="str">
        <x:v>미검증 · R2 화면 프로토타입에서 테스트</x:v>
      </x:c>
    </x:row>
    <x:row r="17">
      <x:c r="A17" s="23" t="str">
        <x:v>Viability</x:v>
      </x:c>
      <x:c r="B17" s="50" t="str">
        <x:v>EOD 가격 제공자가 운영 화면 표시·재배포를 허용한다</x:v>
      </x:c>
      <x:c r="C17" s="50" t="str">
        <x:v>검증용 endpoint를 제품에서 그대로 사용하면 약관 위험</x:v>
      </x:c>
      <x:c r="D17" s="23" t="str">
        <x:v>Low</x:v>
      </x:c>
      <x:c r="E17" s="50" t="str">
        <x:v>제공자 계약/라이선스 검토</x:v>
      </x:c>
      <x:c r="F17" s="50" t="str">
        <x:v>미확정 · R0 데이터는 검증 전용</x:v>
      </x:c>
    </x:row>
    <x:row r="18">
      <x:c r="A18" s="23" t="str">
        <x:v>Feasibility</x:v>
      </x:c>
      <x:c r="B18" s="50" t="str">
        <x:v>당시 정보만으로 분석가별 최신 의견을 재생할 수 있다</x:v>
      </x:c>
      <x:c r="C18" s="50" t="str">
        <x:v>사후 분석 결과가 과거 snapshot에 섞일 수 있음</x:v>
      </x:c>
      <x:c r="D18" s="23" t="str">
        <x:v>Medium</x:v>
      </x:c>
      <x:c r="E18" s="50" t="str">
        <x:v>posted_at + id 순서 deterministic replay</x:v>
      </x:c>
      <x:c r="F18" s="50" t="str">
        <x:v>통과 · 307개 기록 replay 완료</x:v>
      </x:c>
    </x:row>
    <x:row r="19">
      <x:c r="A19" s="23" t="str">
        <x:v>Feasibility</x:v>
      </x:c>
      <x:c r="B19" s="50" t="str">
        <x:v>0.67은 3명 중 2명 합의를 포함한다</x:v>
      </x:c>
      <x:c r="C19" s="50" t="str">
        <x:v>2/3=66.67%라서 0.67 비교에서는 탈락</x:v>
      </x:c>
      <x:c r="D19" s="23" t="str">
        <x:v>Low</x:v>
      </x:c>
      <x:c r="E19" s="50" t="str">
        <x:v>경계값 단위 테스트</x:v>
      </x:c>
      <x:c r="F19" s="50" t="str">
        <x:v>수정 · 내부값을 정확한 2/3로 변경</x:v>
      </x:c>
    </x:row>
    <x:row r="20">
      <x:c r="A20" s="23" t="str">
        <x:v>Feasibility</x:v>
      </x:c>
      <x:c r="B20" s="50" t="str">
        <x:v>일반 neutral/unknown 의견은 기존 방향 표를 제거하지 않는다</x:v>
      </x:c>
      <x:c r="C20" s="50" t="str">
        <x:v>사실 보도까지 표를 지우면 짧은 기간에 entry가 반복 생성됨</x:v>
      </x:c>
      <x:c r="D20" s="23" t="str">
        <x:v>Medium</x:v>
      </x:c>
      <x:c r="E20" s="50" t="str">
        <x:v>기존 규칙과 신호 이벤트 수 비교</x:v>
      </x:c>
      <x:c r="F20" s="50" t="str">
        <x:v>수정 · 명시적 stance_change인 비방향 의견만 제거</x:v>
      </x:c>
    </x:row>
    <x:row r="21">
      <x:c r="A21" s="23" t="str">
        <x:v>Value</x:v>
      </x:c>
      <x:c r="B21" s="50" t="str">
        <x:v>20거래일이 기본 성과 기간으로 충분하다</x:v>
      </x:c>
      <x:c r="C21" s="50" t="str">
        <x:v>종목별 촉매 주기가 달라 너무 짧거나 길 수 있음</x:v>
      </x:c>
      <x:c r="D21" s="23" t="str">
        <x:v>Low</x:v>
      </x:c>
      <x:c r="E21" s="50" t="str">
        <x:v>5D/20D/60D 분포 비교</x:v>
      </x:c>
      <x:c r="F21" s="50" t="str">
        <x:v>판단 보류 · 60D 성숙 표본 축적 필요</x:v>
      </x:c>
    </x:row>
    <x:row r="22">
      <x:c r="A22" s="24" t="str">
        <x:v>Viability</x:v>
      </x:c>
      <x:c r="B22" s="51" t="str">
        <x:v>작은 표본을 숨기지 않으면 과장 인상을 피할 수 있다</x:v>
      </x:c>
      <x:c r="C22" s="51" t="str">
        <x:v>백분율이 건수보다 먼저 보이면 과신 유발</x:v>
      </x:c>
      <x:c r="D22" s="24" t="str">
        <x:v>Medium</x:v>
      </x:c>
      <x:c r="E22" s="51" t="str">
        <x:v>표본 5건 미만 노출 규칙 확인</x:v>
      </x:c>
      <x:c r="F22" s="51" t="str">
        <x:v>반영 · 백분율 대신 판단 보류 표시</x:v>
      </x:c>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28" hidden="0" customWidth="1"/>
    <x:col min="36" max="36" width="28" hidden="0" customWidth="1"/>
    <x:col min="37" max="37" width="28" hidden="0" customWidth="1"/>
    <x:col min="38" max="38" width="28" hidden="0" customWidth="1"/>
    <x:col min="39" max="39" width="14" hidden="0" customWidth="1"/>
  </x:cols>
  <x:sheetData>
    <x:row r="1" ht="36" customHeight="1">
      <x:c r="A1" s="3" t="str">
        <x:v>종합 신호 이벤트와 가격 성과</x:v>
      </x:c>
      <x:c r="B1" s="3" t="str">
        <x:v>종합 신호 이벤트와 가격 성과</x:v>
      </x:c>
      <x:c r="C1" s="3" t="str">
        <x:v>종합 신호 이벤트와 가격 성과</x:v>
      </x:c>
      <x:c r="D1" s="3" t="str">
        <x:v>종합 신호 이벤트와 가격 성과</x:v>
      </x:c>
      <x:c r="E1" s="3" t="str">
        <x:v>종합 신호 이벤트와 가격 성과</x:v>
      </x:c>
      <x:c r="F1" s="3" t="str">
        <x:v>종합 신호 이벤트와 가격 성과</x:v>
      </x:c>
      <x:c r="G1" s="3" t="str">
        <x:v>종합 신호 이벤트와 가격 성과</x:v>
      </x:c>
      <x:c r="H1" s="3" t="str">
        <x:v>종합 신호 이벤트와 가격 성과</x:v>
      </x:c>
      <x:c r="I1" s="3" t="str">
        <x:v>종합 신호 이벤트와 가격 성과</x:v>
      </x:c>
      <x:c r="J1" s="3" t="str">
        <x:v>종합 신호 이벤트와 가격 성과</x:v>
      </x:c>
      <x:c r="K1" s="3" t="str">
        <x:v>종합 신호 이벤트와 가격 성과</x:v>
      </x:c>
      <x:c r="L1" s="3" t="str">
        <x:v>종합 신호 이벤트와 가격 성과</x:v>
      </x:c>
      <x:c r="M1" s="3" t="str">
        <x:v>종합 신호 이벤트와 가격 성과</x:v>
      </x:c>
      <x:c r="N1" s="3" t="str">
        <x:v>종합 신호 이벤트와 가격 성과</x:v>
      </x:c>
      <x:c r="O1" s="3" t="str">
        <x:v>종합 신호 이벤트와 가격 성과</x:v>
      </x:c>
      <x:c r="P1" s="3" t="str">
        <x:v>종합 신호 이벤트와 가격 성과</x:v>
      </x:c>
      <x:c r="Q1" s="3" t="str">
        <x:v>종합 신호 이벤트와 가격 성과</x:v>
      </x:c>
      <x:c r="R1" s="3" t="str">
        <x:v>종합 신호 이벤트와 가격 성과</x:v>
      </x:c>
      <x:c r="S1" s="3" t="str">
        <x:v>종합 신호 이벤트와 가격 성과</x:v>
      </x:c>
      <x:c r="T1" s="3" t="str">
        <x:v>종합 신호 이벤트와 가격 성과</x:v>
      </x:c>
      <x:c r="U1" s="3" t="str">
        <x:v>종합 신호 이벤트와 가격 성과</x:v>
      </x:c>
      <x:c r="V1" s="3" t="str">
        <x:v>종합 신호 이벤트와 가격 성과</x:v>
      </x:c>
      <x:c r="W1" s="3" t="str">
        <x:v>종합 신호 이벤트와 가격 성과</x:v>
      </x:c>
      <x:c r="X1" s="3" t="str">
        <x:v>종합 신호 이벤트와 가격 성과</x:v>
      </x:c>
      <x:c r="Y1" s="3" t="str">
        <x:v>종합 신호 이벤트와 가격 성과</x:v>
      </x:c>
      <x:c r="Z1" s="3" t="str">
        <x:v>종합 신호 이벤트와 가격 성과</x:v>
      </x:c>
      <x:c r="AA1" s="3" t="str">
        <x:v>종합 신호 이벤트와 가격 성과</x:v>
      </x:c>
      <x:c r="AB1" s="3" t="str">
        <x:v>종합 신호 이벤트와 가격 성과</x:v>
      </x:c>
      <x:c r="AC1" s="3" t="str">
        <x:v>종합 신호 이벤트와 가격 성과</x:v>
      </x:c>
      <x:c r="AD1" s="3" t="str">
        <x:v>종합 신호 이벤트와 가격 성과</x:v>
      </x:c>
      <x:c r="AE1" s="3" t="str">
        <x:v>종합 신호 이벤트와 가격 성과</x:v>
      </x:c>
      <x:c r="AF1" s="3" t="str">
        <x:v>종합 신호 이벤트와 가격 성과</x:v>
      </x:c>
      <x:c r="AG1" s="3" t="str">
        <x:v>종합 신호 이벤트와 가격 성과</x:v>
      </x:c>
      <x:c r="AH1" s="3" t="str">
        <x:v>종합 신호 이벤트와 가격 성과</x:v>
      </x:c>
      <x:c r="AI1" s="3" t="str">
        <x:v>종합 신호 이벤트와 가격 성과</x:v>
      </x:c>
    </x:row>
    <x:row r="2">
      <x:c r="A2" s="5" t="str">
        <x:v>파란색/초록색 원천 값은 snapshot 또는 가격 원천이며, 수익률·방향 판정은 시트 수식으로 계산됩니다.</x:v>
      </x:c>
      <x:c r="B2" s="5" t="str">
        <x:v>파란색/초록색 원천 값은 snapshot 또는 가격 원천이며, 수익률·방향 판정은 시트 수식으로 계산됩니다.</x:v>
      </x:c>
      <x:c r="C2" s="5" t="str">
        <x:v>파란색/초록색 원천 값은 snapshot 또는 가격 원천이며, 수익률·방향 판정은 시트 수식으로 계산됩니다.</x:v>
      </x:c>
      <x:c r="D2" s="5" t="str">
        <x:v>파란색/초록색 원천 값은 snapshot 또는 가격 원천이며, 수익률·방향 판정은 시트 수식으로 계산됩니다.</x:v>
      </x:c>
      <x:c r="E2" s="5" t="str">
        <x:v>파란색/초록색 원천 값은 snapshot 또는 가격 원천이며, 수익률·방향 판정은 시트 수식으로 계산됩니다.</x:v>
      </x:c>
      <x:c r="F2" s="5" t="str">
        <x:v>파란색/초록색 원천 값은 snapshot 또는 가격 원천이며, 수익률·방향 판정은 시트 수식으로 계산됩니다.</x:v>
      </x:c>
      <x:c r="G2" s="5" t="str">
        <x:v>파란색/초록색 원천 값은 snapshot 또는 가격 원천이며, 수익률·방향 판정은 시트 수식으로 계산됩니다.</x:v>
      </x:c>
      <x:c r="H2" s="5" t="str">
        <x:v>파란색/초록색 원천 값은 snapshot 또는 가격 원천이며, 수익률·방향 판정은 시트 수식으로 계산됩니다.</x:v>
      </x:c>
      <x:c r="I2" s="5" t="str">
        <x:v>파란색/초록색 원천 값은 snapshot 또는 가격 원천이며, 수익률·방향 판정은 시트 수식으로 계산됩니다.</x:v>
      </x:c>
      <x:c r="J2" s="5" t="str">
        <x:v>파란색/초록색 원천 값은 snapshot 또는 가격 원천이며, 수익률·방향 판정은 시트 수식으로 계산됩니다.</x:v>
      </x:c>
      <x:c r="K2" s="5" t="str">
        <x:v>파란색/초록색 원천 값은 snapshot 또는 가격 원천이며, 수익률·방향 판정은 시트 수식으로 계산됩니다.</x:v>
      </x:c>
      <x:c r="L2" s="5" t="str">
        <x:v>파란색/초록색 원천 값은 snapshot 또는 가격 원천이며, 수익률·방향 판정은 시트 수식으로 계산됩니다.</x:v>
      </x:c>
      <x:c r="M2" s="5" t="str">
        <x:v>파란색/초록색 원천 값은 snapshot 또는 가격 원천이며, 수익률·방향 판정은 시트 수식으로 계산됩니다.</x:v>
      </x:c>
      <x:c r="N2" s="5" t="str">
        <x:v>파란색/초록색 원천 값은 snapshot 또는 가격 원천이며, 수익률·방향 판정은 시트 수식으로 계산됩니다.</x:v>
      </x:c>
      <x:c r="O2" s="5" t="str">
        <x:v>파란색/초록색 원천 값은 snapshot 또는 가격 원천이며, 수익률·방향 판정은 시트 수식으로 계산됩니다.</x:v>
      </x:c>
      <x:c r="P2" s="5" t="str">
        <x:v>파란색/초록색 원천 값은 snapshot 또는 가격 원천이며, 수익률·방향 판정은 시트 수식으로 계산됩니다.</x:v>
      </x:c>
      <x:c r="Q2" s="5" t="str">
        <x:v>파란색/초록색 원천 값은 snapshot 또는 가격 원천이며, 수익률·방향 판정은 시트 수식으로 계산됩니다.</x:v>
      </x:c>
      <x:c r="R2" s="5" t="str">
        <x:v>파란색/초록색 원천 값은 snapshot 또는 가격 원천이며, 수익률·방향 판정은 시트 수식으로 계산됩니다.</x:v>
      </x:c>
      <x:c r="S2" s="5" t="str">
        <x:v>파란색/초록색 원천 값은 snapshot 또는 가격 원천이며, 수익률·방향 판정은 시트 수식으로 계산됩니다.</x:v>
      </x:c>
      <x:c r="T2" s="5" t="str">
        <x:v>파란색/초록색 원천 값은 snapshot 또는 가격 원천이며, 수익률·방향 판정은 시트 수식으로 계산됩니다.</x:v>
      </x:c>
      <x:c r="U2" s="5" t="str">
        <x:v>파란색/초록색 원천 값은 snapshot 또는 가격 원천이며, 수익률·방향 판정은 시트 수식으로 계산됩니다.</x:v>
      </x:c>
      <x:c r="V2" s="5" t="str">
        <x:v>파란색/초록색 원천 값은 snapshot 또는 가격 원천이며, 수익률·방향 판정은 시트 수식으로 계산됩니다.</x:v>
      </x:c>
      <x:c r="W2" s="5" t="str">
        <x:v>파란색/초록색 원천 값은 snapshot 또는 가격 원천이며, 수익률·방향 판정은 시트 수식으로 계산됩니다.</x:v>
      </x:c>
      <x:c r="X2" s="5" t="str">
        <x:v>파란색/초록색 원천 값은 snapshot 또는 가격 원천이며, 수익률·방향 판정은 시트 수식으로 계산됩니다.</x:v>
      </x:c>
      <x:c r="Y2" s="5" t="str">
        <x:v>파란색/초록색 원천 값은 snapshot 또는 가격 원천이며, 수익률·방향 판정은 시트 수식으로 계산됩니다.</x:v>
      </x:c>
      <x:c r="Z2" s="5" t="str">
        <x:v>파란색/초록색 원천 값은 snapshot 또는 가격 원천이며, 수익률·방향 판정은 시트 수식으로 계산됩니다.</x:v>
      </x:c>
      <x:c r="AA2" s="5" t="str">
        <x:v>파란색/초록색 원천 값은 snapshot 또는 가격 원천이며, 수익률·방향 판정은 시트 수식으로 계산됩니다.</x:v>
      </x:c>
      <x:c r="AB2" s="5" t="str">
        <x:v>파란색/초록색 원천 값은 snapshot 또는 가격 원천이며, 수익률·방향 판정은 시트 수식으로 계산됩니다.</x:v>
      </x:c>
      <x:c r="AC2" s="5" t="str">
        <x:v>파란색/초록색 원천 값은 snapshot 또는 가격 원천이며, 수익률·방향 판정은 시트 수식으로 계산됩니다.</x:v>
      </x:c>
      <x:c r="AD2" s="5" t="str">
        <x:v>파란색/초록색 원천 값은 snapshot 또는 가격 원천이며, 수익률·방향 판정은 시트 수식으로 계산됩니다.</x:v>
      </x:c>
      <x:c r="AE2" s="5" t="str">
        <x:v>파란색/초록색 원천 값은 snapshot 또는 가격 원천이며, 수익률·방향 판정은 시트 수식으로 계산됩니다.</x:v>
      </x:c>
      <x:c r="AF2" s="5" t="str">
        <x:v>파란색/초록색 원천 값은 snapshot 또는 가격 원천이며, 수익률·방향 판정은 시트 수식으로 계산됩니다.</x:v>
      </x:c>
      <x:c r="AG2" s="5" t="str">
        <x:v>파란색/초록색 원천 값은 snapshot 또는 가격 원천이며, 수익률·방향 판정은 시트 수식으로 계산됩니다.</x:v>
      </x:c>
      <x:c r="AH2" s="5" t="str">
        <x:v>파란색/초록색 원천 값은 snapshot 또는 가격 원천이며, 수익률·방향 판정은 시트 수식으로 계산됩니다.</x:v>
      </x:c>
      <x:c r="AI2" s="5" t="str">
        <x:v>파란색/초록색 원천 값은 snapshot 또는 가격 원천이며, 수익률·방향 판정은 시트 수식으로 계산됩니다.</x:v>
      </x:c>
    </x:row>
    <x:row r="5" ht="32" customHeight="1">
      <x:c r="A5" s="15" t="str">
        <x:v>이벤트 ID</x:v>
      </x:c>
      <x:c r="B5" s="16" t="str">
        <x:v>Ticker</x:v>
      </x:c>
      <x:c r="C5" s="16" t="str">
        <x:v>신호 시각</x:v>
      </x:c>
      <x:c r="D5" s="16" t="str">
        <x:v>신호 유형</x:v>
      </x:c>
      <x:c r="E5" s="16" t="str">
        <x:v>방향</x:v>
      </x:c>
      <x:c r="F5" s="16" t="str">
        <x:v>이전 상태</x:v>
      </x:c>
      <x:c r="G5" s="16" t="str">
        <x:v>방향 분석가</x:v>
      </x:c>
      <x:c r="H5" s="16" t="str">
        <x:v>강세 수</x:v>
      </x:c>
      <x:c r="I5" s="16" t="str">
        <x:v>약세 수</x:v>
      </x:c>
      <x:c r="J5" s="16" t="str">
        <x:v>기준 세션</x:v>
      </x:c>
      <x:c r="K5" s="16" t="str">
        <x:v>수정 시가</x:v>
      </x:c>
      <x:c r="L5" s="16" t="str">
        <x:v>가격 산식</x:v>
      </x:c>
      <x:c r="M5" s="16" t="str">
        <x:v>최신 세션</x:v>
      </x:c>
      <x:c r="N5" s="16" t="str">
        <x:v>최신 수정 종가</x:v>
      </x:c>
      <x:c r="O5" s="16" t="str">
        <x:v>현재 원수익률</x:v>
      </x:c>
      <x:c r="P5" s="16" t="str">
        <x:v>현재 방향보정</x:v>
      </x:c>
      <x:c r="Q5" s="16" t="str">
        <x:v>5D 세션</x:v>
      </x:c>
      <x:c r="R5" s="16" t="str">
        <x:v>5D 종가</x:v>
      </x:c>
      <x:c r="S5" s="16" t="str">
        <x:v>5D 원수익률</x:v>
      </x:c>
      <x:c r="T5" s="16" t="str">
        <x:v>5D 방향보정</x:v>
      </x:c>
      <x:c r="U5" s="16" t="str">
        <x:v>5D 판정</x:v>
      </x:c>
      <x:c r="V5" s="16" t="str">
        <x:v>20D 세션</x:v>
      </x:c>
      <x:c r="W5" s="16" t="str">
        <x:v>20D 종가</x:v>
      </x:c>
      <x:c r="X5" s="16" t="str">
        <x:v>20D 원수익률</x:v>
      </x:c>
      <x:c r="Y5" s="16" t="str">
        <x:v>20D 방향보정</x:v>
      </x:c>
      <x:c r="Z5" s="16" t="str">
        <x:v>20D 판정</x:v>
      </x:c>
      <x:c r="AA5" s="16" t="str">
        <x:v>60D 세션</x:v>
      </x:c>
      <x:c r="AB5" s="16" t="str">
        <x:v>60D 종가</x:v>
      </x:c>
      <x:c r="AC5" s="16" t="str">
        <x:v>60D 원수익률</x:v>
      </x:c>
      <x:c r="AD5" s="16" t="str">
        <x:v>60D 방향보정</x:v>
      </x:c>
      <x:c r="AE5" s="16" t="str">
        <x:v>60D 판정</x:v>
      </x:c>
      <x:c r="AF5" s="16" t="str">
        <x:v>종료 시각</x:v>
      </x:c>
      <x:c r="AG5" s="16" t="str">
        <x:v>종료 사유</x:v>
      </x:c>
      <x:c r="AH5" s="16" t="str">
        <x:v>trigger 분석 ID</x:v>
      </x:c>
      <x:c r="AI5" s="16" t="str">
        <x:v>trigger URL</x:v>
      </x:c>
      <x:c r="AJ5" s="16" t="str">
        <x:v>참여 snapshot</x:v>
      </x:c>
      <x:c r="AK5" s="16" t="str">
        <x:v>제외 snapshot</x:v>
      </x:c>
      <x:c r="AL5" s="16" t="str">
        <x:v>trigger claim</x:v>
      </x:c>
      <x:c r="AM5" s="17" t="str">
        <x:v>데이터 상태</x:v>
      </x:c>
    </x:row>
    <x:row r="6">
      <x:c r="A6" s="22" t="str">
        <x:v>COHR-1</x:v>
      </x:c>
      <x:c r="B6" s="22" t="str">
        <x:v>COHR</x:v>
      </x:c>
      <x:c r="C6" s="52" t="n">
        <x:v>46229.584965277776</x:v>
      </x:c>
      <x:c r="D6" s="22" t="str">
        <x:v>entry</x:v>
      </x:c>
      <x:c r="E6" s="22" t="str">
        <x:v>positive</x:v>
      </x:c>
      <x:c r="F6" s="22" t="str">
        <x:v>insufficient</x:v>
      </x:c>
      <x:c r="G6" s="22" t="n">
        <x:v>2</x:v>
      </x:c>
      <x:c r="H6" s="22" t="n">
        <x:v>2</x:v>
      </x:c>
      <x:c r="I6" s="22" t="n">
        <x:v>0</x:v>
      </x:c>
      <x:c r="J6" s="55" t="n">
        <x:v>46230.5625</x:v>
      </x:c>
      <x:c r="K6" s="58" t="n">
        <x:v>282.1199951171875</x:v>
      </x:c>
      <x:c r="L6" s="22" t="str">
        <x:v>raw_open × adjusted_close / raw_close</x:v>
      </x:c>
      <x:c r="M6" s="55" t="n">
        <x:v>46234.5625</x:v>
      </x:c>
      <x:c r="N6" s="58" t="n">
        <x:v>262.8900146484375</x:v>
      </x:c>
      <x:c r="O6" s="61" t="n">
        <x:f>IF(OR(K6="",N6=""),"",N6/K6-1)</x:f>
        <x:v>-0.0681624159987746</x:v>
      </x:c>
      <x:c r="P6" s="61" t="n">
        <x:f>IF(O6="","",IF(E6="positive",O6,-O6))</x:f>
        <x:v>-0.0681624159987746</x:v>
      </x:c>
      <x:c r="Q6" s="55" t="n">
        <x:v>46234.5625</x:v>
      </x:c>
      <x:c r="R6" s="58" t="n">
        <x:v>262.8900146484375</x:v>
      </x:c>
      <x:c r="S6" s="61" t="n">
        <x:f>IF(OR(K6="",R6=""),"",R6/K6-1)</x:f>
        <x:v>-0.0681624159987746</x:v>
      </x:c>
      <x:c r="T6" s="61" t="n">
        <x:f>IF(S6="","",IF(E6="positive",S6,-S6))</x:f>
        <x:v>-0.0681624159987746</x:v>
      </x:c>
      <x:c r="U6" s="22" t="str">
        <x:f>IF(T6="","평가 대기",IF(T6&gt;='Assumptions'!$B$9,"방향 일치",IF(T6&lt;=-'Assumptions'!$B$9,"방향 불일치","보합")))</x:f>
        <x:v>방향 불일치</x:v>
      </x:c>
      <x:c r="V6" s="55"/>
      <x:c r="W6" s="58"/>
      <x:c r="X6" s="61" t="str">
        <x:f>IF(OR(K6="",W6=""),"",W6/K6-1)</x:f>
      </x:c>
      <x:c r="Y6" s="61" t="str">
        <x:f>IF(X6="","",IF(E6="positive",X6,-X6))</x:f>
      </x:c>
      <x:c r="Z6" s="22" t="str">
        <x:f>IF(Y6="","평가 대기",IF(Y6&gt;='Assumptions'!$B$9,"방향 일치",IF(Y6&lt;=-'Assumptions'!$B$9,"방향 불일치","보합")))</x:f>
        <x:v>평가 대기</x:v>
      </x:c>
      <x:c r="AA6" s="55"/>
      <x:c r="AB6" s="58"/>
      <x:c r="AC6" s="61" t="str">
        <x:f>IF(OR(K6="",AB6=""),"",AB6/K6-1)</x:f>
      </x:c>
      <x:c r="AD6" s="61" t="str">
        <x:f>IF(AC6="","",IF(E6="positive",AC6,-AC6))</x:f>
      </x:c>
      <x:c r="AE6" s="22" t="str">
        <x:f>IF(AD6="","평가 대기",IF(AD6&gt;='Assumptions'!$B$9,"방향 일치",IF(AD6&lt;=-'Assumptions'!$B$9,"방향 불일치","보합")))</x:f>
        <x:v>평가 대기</x:v>
      </x:c>
      <x:c r="AF6" s="52"/>
      <x:c r="AG6" s="22"/>
      <x:c r="AH6" s="22" t="n">
        <x:v>2056</x:v>
      </x:c>
      <x:c r="AI6" s="64" t="str">
        <x:v>https://x.com/StockSavvyShay/status/2081379601545351630</x:v>
      </x:c>
      <x:c r="AJ6" s="49" t="str">
        <x:v>aleabitoreddit:bullish · StockSavvyShay:bullish</x:v>
      </x:c>
      <x:c r="AK6" s="49" t="str"/>
      <x:c r="AL6" s="49" t="str">
        <x:v>광학 계층, 800G에서 1.6T 전환 수혜</x:v>
      </x:c>
      <x:c r="AM6" s="49" t="str">
        <x:v>OK</x:v>
      </x:c>
    </x:row>
    <x:row r="7">
      <x:c r="A7" s="23" t="str">
        <x:v>AAOI-1</x:v>
      </x:c>
      <x:c r="B7" s="23" t="str">
        <x:v>AAOI</x:v>
      </x:c>
      <x:c r="C7" s="53" t="n">
        <x:v>46178.03256944445</x:v>
      </x:c>
      <x:c r="D7" s="23" t="str">
        <x:v>entry</x:v>
      </x:c>
      <x:c r="E7" s="23" t="str">
        <x:v>positive</x:v>
      </x:c>
      <x:c r="F7" s="23" t="str">
        <x:v>insufficient</x:v>
      </x:c>
      <x:c r="G7" s="23" t="n">
        <x:v>2</x:v>
      </x:c>
      <x:c r="H7" s="23" t="n">
        <x:v>2</x:v>
      </x:c>
      <x:c r="I7" s="23" t="n">
        <x:v>0</x:v>
      </x:c>
      <x:c r="J7" s="56" t="n">
        <x:v>46178.5625</x:v>
      </x:c>
      <x:c r="K7" s="59" t="n">
        <x:v>191.4199981689453</x:v>
      </x:c>
      <x:c r="L7" s="23" t="str">
        <x:v>raw_open × adjusted_close / raw_close</x:v>
      </x:c>
      <x:c r="M7" s="56" t="n">
        <x:v>46234.5625</x:v>
      </x:c>
      <x:c r="N7" s="59" t="n">
        <x:v>94.31999969482422</x:v>
      </x:c>
      <x:c r="O7" s="62" t="n">
        <x:f>IF(OR(K7="",N7=""),"",N7/K7-1)</x:f>
        <x:v>-0.5072615160534149</x:v>
      </x:c>
      <x:c r="P7" s="62" t="n">
        <x:f>IF(O7="","",IF(E7="positive",O7,-O7))</x:f>
        <x:v>-0.5072615160534149</x:v>
      </x:c>
      <x:c r="Q7" s="56" t="n">
        <x:v>46184.5625</x:v>
      </x:c>
      <x:c r="R7" s="59" t="n">
        <x:v>172.77999877929688</x:v>
      </x:c>
      <x:c r="S7" s="62" t="n">
        <x:f>IF(OR(K7="",R7=""),"",R7/K7-1)</x:f>
        <x:v>-0.09737749225761128</x:v>
      </x:c>
      <x:c r="T7" s="62" t="n">
        <x:f>IF(S7="","",IF(E7="positive",S7,-S7))</x:f>
        <x:v>-0.09737749225761128</x:v>
      </x:c>
      <x:c r="U7" s="23" t="str">
        <x:f>IF(T7="","평가 대기",IF(T7&gt;='Assumptions'!$B$9,"방향 일치",IF(T7&lt;=-'Assumptions'!$B$9,"방향 불일치","보합")))</x:f>
        <x:v>방향 불일치</x:v>
      </x:c>
      <x:c r="V7" s="56" t="n">
        <x:v>46209.5625</x:v>
      </x:c>
      <x:c r="W7" s="59" t="n">
        <x:v>123.36000061035156</x:v>
      </x:c>
      <x:c r="X7" s="62" t="n">
        <x:f>IF(OR(K7="",W7=""),"",W7/K7-1)</x:f>
        <x:v>-0.35555322437379144</x:v>
      </x:c>
      <x:c r="Y7" s="62" t="n">
        <x:f>IF(X7="","",IF(E7="positive",X7,-X7))</x:f>
        <x:v>-0.35555322437379144</x:v>
      </x:c>
      <x:c r="Z7" s="23" t="str">
        <x:f>IF(Y7="","평가 대기",IF(Y7&gt;='Assumptions'!$B$9,"방향 일치",IF(Y7&lt;=-'Assumptions'!$B$9,"방향 불일치","보합")))</x:f>
        <x:v>방향 불일치</x:v>
      </x:c>
      <x:c r="AA7" s="56"/>
      <x:c r="AB7" s="59"/>
      <x:c r="AC7" s="62" t="str">
        <x:f>IF(OR(K7="",AB7=""),"",AB7/K7-1)</x:f>
      </x:c>
      <x:c r="AD7" s="62" t="str">
        <x:f>IF(AC7="","",IF(E7="positive",AC7,-AC7))</x:f>
      </x:c>
      <x:c r="AE7" s="23" t="str">
        <x:f>IF(AD7="","평가 대기",IF(AD7&gt;='Assumptions'!$B$9,"방향 일치",IF(AD7&lt;=-'Assumptions'!$B$9,"방향 불일치","보합")))</x:f>
        <x:v>평가 대기</x:v>
      </x:c>
      <x:c r="AF7" s="53" t="n">
        <x:v>46196.654270833336</x:v>
      </x:c>
      <x:c r="AG7" s="23" t="str">
        <x:v>consensus_exit</x:v>
      </x:c>
      <x:c r="AH7" s="23" t="n">
        <x:v>250</x:v>
      </x:c>
      <x:c r="AI7" s="65" t="str">
        <x:v>https://x.com/aleabitoreddit/status/2062697638500462639</x:v>
      </x:c>
      <x:c r="AJ7" s="50" t="str">
        <x:v>StockSavvyShay:bullish · aleabitoreddit:bullish</x:v>
      </x:c>
      <x:c r="AK7" s="50" t="str"/>
      <x:c r="AL7" s="50" t="str">
        <x:v>AAOI는 800G/1.6T 광트랜시버 수요 증가, 수직 통합, AMD/NVDA와의 협력 가능성, 가격 인상 및 마진 확대 등으로 인해 주가가 2~3배 상승할 가능성이 있음.</x:v>
      </x:c>
      <x:c r="AM7" s="50" t="str">
        <x:v>OK</x:v>
      </x:c>
    </x:row>
    <x:row r="8">
      <x:c r="A8" s="23" t="str">
        <x:v>AAOI-2</x:v>
      </x:c>
      <x:c r="B8" s="23" t="str">
        <x:v>AAOI</x:v>
      </x:c>
      <x:c r="C8" s="53" t="n">
        <x:v>46198.677395833336</x:v>
      </x:c>
      <x:c r="D8" s="23" t="str">
        <x:v>entry</x:v>
      </x:c>
      <x:c r="E8" s="23" t="str">
        <x:v>positive</x:v>
      </x:c>
      <x:c r="F8" s="23" t="str">
        <x:v>mixed</x:v>
      </x:c>
      <x:c r="G8" s="23" t="n">
        <x:v>2</x:v>
      </x:c>
      <x:c r="H8" s="23" t="n">
        <x:v>2</x:v>
      </x:c>
      <x:c r="I8" s="23" t="n">
        <x:v>0</x:v>
      </x:c>
      <x:c r="J8" s="56" t="n">
        <x:v>46199.5625</x:v>
      </x:c>
      <x:c r="K8" s="59" t="n">
        <x:v>131.67999267578125</x:v>
      </x:c>
      <x:c r="L8" s="23" t="str">
        <x:v>raw_open × adjusted_close / raw_close</x:v>
      </x:c>
      <x:c r="M8" s="56" t="n">
        <x:v>46234.5625</x:v>
      </x:c>
      <x:c r="N8" s="59" t="n">
        <x:v>94.31999969482422</x:v>
      </x:c>
      <x:c r="O8" s="62" t="n">
        <x:f>IF(OR(K8="",N8=""),"",N8/K8-1)</x:f>
        <x:v>-0.2837180669727386</x:v>
      </x:c>
      <x:c r="P8" s="62" t="n">
        <x:f>IF(O8="","",IF(E8="positive",O8,-O8))</x:f>
        <x:v>-0.2837180669727386</x:v>
      </x:c>
      <x:c r="Q8" s="56" t="n">
        <x:v>46205.5625</x:v>
      </x:c>
      <x:c r="R8" s="59" t="n">
        <x:v>120.94999694824219</x:v>
      </x:c>
      <x:c r="S8" s="62" t="n">
        <x:f>IF(OR(K8="",R8=""),"",R8/K8-1)</x:f>
        <x:v>-0.0814853912845982</x:v>
      </x:c>
      <x:c r="T8" s="62" t="n">
        <x:f>IF(S8="","",IF(E8="positive",S8,-S8))</x:f>
        <x:v>-0.0814853912845982</x:v>
      </x:c>
      <x:c r="U8" s="23" t="str">
        <x:f>IF(T8="","평가 대기",IF(T8&gt;='Assumptions'!$B$9,"방향 일치",IF(T8&lt;=-'Assumptions'!$B$9,"방향 불일치","보합")))</x:f>
        <x:v>방향 불일치</x:v>
      </x:c>
      <x:c r="V8" s="56" t="n">
        <x:v>46227.5625</x:v>
      </x:c>
      <x:c r="W8" s="59" t="n">
        <x:v>100.1500015258789</x:v>
      </x:c>
      <x:c r="X8" s="62" t="n">
        <x:f>IF(OR(K8="",W8=""),"",W8/K8-1)</x:f>
        <x:v>-0.23944405303495575</x:v>
      </x:c>
      <x:c r="Y8" s="62" t="n">
        <x:f>IF(X8="","",IF(E8="positive",X8,-X8))</x:f>
        <x:v>-0.23944405303495575</x:v>
      </x:c>
      <x:c r="Z8" s="23" t="str">
        <x:f>IF(Y8="","평가 대기",IF(Y8&gt;='Assumptions'!$B$9,"방향 일치",IF(Y8&lt;=-'Assumptions'!$B$9,"방향 불일치","보합")))</x:f>
        <x:v>방향 불일치</x:v>
      </x:c>
      <x:c r="AA8" s="56"/>
      <x:c r="AB8" s="59"/>
      <x:c r="AC8" s="62" t="str">
        <x:f>IF(OR(K8="",AB8=""),"",AB8/K8-1)</x:f>
      </x:c>
      <x:c r="AD8" s="62" t="str">
        <x:f>IF(AC8="","",IF(E8="positive",AC8,-AC8))</x:f>
      </x:c>
      <x:c r="AE8" s="23" t="str">
        <x:f>IF(AD8="","평가 대기",IF(AD8&gt;='Assumptions'!$B$9,"방향 일치",IF(AD8&lt;=-'Assumptions'!$B$9,"방향 불일치","보합")))</x:f>
        <x:v>평가 대기</x:v>
      </x:c>
      <x:c r="AF8" s="53" t="n">
        <x:v>46216.846504629626</x:v>
      </x:c>
      <x:c r="AG8" s="23" t="str">
        <x:v>consensus_exit</x:v>
      </x:c>
      <x:c r="AH8" s="23" t="n">
        <x:v>779</x:v>
      </x:c>
      <x:c r="AI8" s="65" t="str">
        <x:v>https://x.com/aleabitoreddit/status/2070179074048409662</x:v>
      </x:c>
      <x:c r="AJ8" s="50" t="str">
        <x:v>StockSavvyShay:bullish · aleabitoreddit:bullish</x:v>
      </x:c>
      <x:c r="AK8" s="50" t="str"/>
      <x:c r="AL8" s="50" t="str">
        <x:v>AAOI는 2027년 상반기 월 4억 7100만 달러의 매출을 전망하며, AMD와의 장기 계약 논의 중</x:v>
      </x:c>
      <x:c r="AM8" s="50" t="str">
        <x:v>OK</x:v>
      </x:c>
    </x:row>
    <x:row r="9">
      <x:c r="A9" s="23" t="str">
        <x:v>AAOI-3</x:v>
      </x:c>
      <x:c r="B9" s="23" t="str">
        <x:v>AAOI</x:v>
      </x:c>
      <x:c r="C9" s="53" t="n">
        <x:v>46216.970671296294</x:v>
      </x:c>
      <x:c r="D9" s="23" t="str">
        <x:v>entry</x:v>
      </x:c>
      <x:c r="E9" s="23" t="str">
        <x:v>positive</x:v>
      </x:c>
      <x:c r="F9" s="23" t="str">
        <x:v>mixed</x:v>
      </x:c>
      <x:c r="G9" s="23" t="n">
        <x:v>2</x:v>
      </x:c>
      <x:c r="H9" s="23" t="n">
        <x:v>2</x:v>
      </x:c>
      <x:c r="I9" s="23" t="n">
        <x:v>0</x:v>
      </x:c>
      <x:c r="J9" s="56" t="n">
        <x:v>46217.5625</x:v>
      </x:c>
      <x:c r="K9" s="59" t="n">
        <x:v>119.41999816894531</x:v>
      </x:c>
      <x:c r="L9" s="23" t="str">
        <x:v>raw_open × adjusted_close / raw_close</x:v>
      </x:c>
      <x:c r="M9" s="56" t="n">
        <x:v>46234.5625</x:v>
      </x:c>
      <x:c r="N9" s="59" t="n">
        <x:v>94.31999969482422</x:v>
      </x:c>
      <x:c r="O9" s="62" t="n">
        <x:f>IF(OR(K9="",N9=""),"",N9/K9-1)</x:f>
        <x:v>-0.21018253943206178</x:v>
      </x:c>
      <x:c r="P9" s="62" t="n">
        <x:f>IF(O9="","",IF(E9="positive",O9,-O9))</x:f>
        <x:v>-0.21018253943206178</x:v>
      </x:c>
      <x:c r="Q9" s="56" t="n">
        <x:v>46223.5625</x:v>
      </x:c>
      <x:c r="R9" s="59" t="n">
        <x:v>103.0199966430664</x:v>
      </x:c>
      <x:c r="S9" s="62" t="n">
        <x:f>IF(OR(K9="",R9=""),"",R9/K9-1)</x:f>
        <x:v>-0.13733044529675487</x:v>
      </x:c>
      <x:c r="T9" s="62" t="n">
        <x:f>IF(S9="","",IF(E9="positive",S9,-S9))</x:f>
        <x:v>-0.13733044529675487</x:v>
      </x:c>
      <x:c r="U9" s="23" t="str">
        <x:f>IF(T9="","평가 대기",IF(T9&gt;='Assumptions'!$B$9,"방향 일치",IF(T9&lt;=-'Assumptions'!$B$9,"방향 불일치","보합")))</x:f>
        <x:v>방향 불일치</x:v>
      </x:c>
      <x:c r="V9" s="56"/>
      <x:c r="W9" s="59"/>
      <x:c r="X9" s="62" t="str">
        <x:f>IF(OR(K9="",W9=""),"",W9/K9-1)</x:f>
      </x:c>
      <x:c r="Y9" s="62" t="str">
        <x:f>IF(X9="","",IF(E9="positive",X9,-X9))</x:f>
      </x:c>
      <x:c r="Z9" s="23" t="str">
        <x:f>IF(Y9="","평가 대기",IF(Y9&gt;='Assumptions'!$B$9,"방향 일치",IF(Y9&lt;=-'Assumptions'!$B$9,"방향 불일치","보합")))</x:f>
        <x:v>평가 대기</x:v>
      </x:c>
      <x:c r="AA9" s="56"/>
      <x:c r="AB9" s="59"/>
      <x:c r="AC9" s="62" t="str">
        <x:f>IF(OR(K9="",AB9=""),"",AB9/K9-1)</x:f>
      </x:c>
      <x:c r="AD9" s="62" t="str">
        <x:f>IF(AC9="","",IF(E9="positive",AC9,-AC9))</x:f>
      </x:c>
      <x:c r="AE9" s="23" t="str">
        <x:f>IF(AD9="","평가 대기",IF(AD9&gt;='Assumptions'!$B$9,"방향 일치",IF(AD9&lt;=-'Assumptions'!$B$9,"방향 불일치","보합")))</x:f>
        <x:v>평가 대기</x:v>
      </x:c>
      <x:c r="AF9" s="53" t="n">
        <x:v>46219.58771990741</x:v>
      </x:c>
      <x:c r="AG9" s="23" t="str">
        <x:v>consensus_exit</x:v>
      </x:c>
      <x:c r="AH9" s="23" t="n">
        <x:v>84</x:v>
      </x:c>
      <x:c r="AI9" s="65" t="str">
        <x:v>https://x.com/aleabitoreddit/status/2076808331453415674</x:v>
      </x:c>
      <x:c r="AJ9" s="50" t="str">
        <x:v>StockSavvyShay:bullish · aleabitoreddit:bullish</x:v>
      </x:c>
      <x:c r="AK9" s="50" t="str"/>
      <x:c r="AL9" s="50" t="str">
        <x:v>800G 수요 증가로 미국 트랜시버 업체에 긍정적</x:v>
      </x:c>
      <x:c r="AM9" s="50" t="str">
        <x:v>OK</x:v>
      </x:c>
    </x:row>
    <x:row r="10">
      <x:c r="A10" s="23" t="str">
        <x:v>AAOI-4</x:v>
      </x:c>
      <x:c r="B10" s="23" t="str">
        <x:v>AAOI</x:v>
      </x:c>
      <x:c r="C10" s="53" t="n">
        <x:v>46220.61990740741</x:v>
      </x:c>
      <x:c r="D10" s="23" t="str">
        <x:v>entry</x:v>
      </x:c>
      <x:c r="E10" s="23" t="str">
        <x:v>positive</x:v>
      </x:c>
      <x:c r="F10" s="23" t="str">
        <x:v>mixed</x:v>
      </x:c>
      <x:c r="G10" s="23" t="n">
        <x:v>2</x:v>
      </x:c>
      <x:c r="H10" s="23" t="n">
        <x:v>2</x:v>
      </x:c>
      <x:c r="I10" s="23" t="n">
        <x:v>0</x:v>
      </x:c>
      <x:c r="J10" s="56" t="n">
        <x:v>46223.5625</x:v>
      </x:c>
      <x:c r="K10" s="59" t="n">
        <x:v>104.86000061035156</x:v>
      </x:c>
      <x:c r="L10" s="23" t="str">
        <x:v>raw_open × adjusted_close / raw_close</x:v>
      </x:c>
      <x:c r="M10" s="56" t="n">
        <x:v>46234.5625</x:v>
      </x:c>
      <x:c r="N10" s="59" t="n">
        <x:v>94.31999969482422</x:v>
      </x:c>
      <x:c r="O10" s="62" t="n">
        <x:f>IF(OR(K10="",N10=""),"",N10/K10-1)</x:f>
        <x:v>-0.10051498048996632</x:v>
      </x:c>
      <x:c r="P10" s="62" t="n">
        <x:f>IF(O10="","",IF(E10="positive",O10,-O10))</x:f>
        <x:v>-0.10051498048996632</x:v>
      </x:c>
      <x:c r="Q10" s="56" t="n">
        <x:v>46227.5625</x:v>
      </x:c>
      <x:c r="R10" s="59" t="n">
        <x:v>100.1500015258789</x:v>
      </x:c>
      <x:c r="S10" s="62" t="n">
        <x:f>IF(OR(K10="",R10=""),"",R10/K10-1)</x:f>
        <x:v>-0.044917023241059284</x:v>
      </x:c>
      <x:c r="T10" s="62" t="n">
        <x:f>IF(S10="","",IF(E10="positive",S10,-S10))</x:f>
        <x:v>-0.044917023241059284</x:v>
      </x:c>
      <x:c r="U10" s="23" t="str">
        <x:f>IF(T10="","평가 대기",IF(T10&gt;='Assumptions'!$B$9,"방향 일치",IF(T10&lt;=-'Assumptions'!$B$9,"방향 불일치","보합")))</x:f>
        <x:v>방향 불일치</x:v>
      </x:c>
      <x:c r="V10" s="56"/>
      <x:c r="W10" s="59"/>
      <x:c r="X10" s="62" t="str">
        <x:f>IF(OR(K10="",W10=""),"",W10/K10-1)</x:f>
      </x:c>
      <x:c r="Y10" s="62" t="str">
        <x:f>IF(X10="","",IF(E10="positive",X10,-X10))</x:f>
      </x:c>
      <x:c r="Z10" s="23" t="str">
        <x:f>IF(Y10="","평가 대기",IF(Y10&gt;='Assumptions'!$B$9,"방향 일치",IF(Y10&lt;=-'Assumptions'!$B$9,"방향 불일치","보합")))</x:f>
        <x:v>평가 대기</x:v>
      </x:c>
      <x:c r="AA10" s="56"/>
      <x:c r="AB10" s="59"/>
      <x:c r="AC10" s="62" t="str">
        <x:f>IF(OR(K10="",AB10=""),"",AB10/K10-1)</x:f>
      </x:c>
      <x:c r="AD10" s="62" t="str">
        <x:f>IF(AC10="","",IF(E10="positive",AC10,-AC10))</x:f>
      </x:c>
      <x:c r="AE10" s="23" t="str">
        <x:f>IF(AD10="","평가 대기",IF(AD10&gt;='Assumptions'!$B$9,"방향 일치",IF(AD10&lt;=-'Assumptions'!$B$9,"방향 불일치","보합")))</x:f>
        <x:v>평가 대기</x:v>
      </x:c>
      <x:c r="AF10" s="53" t="n">
        <x:v>46232.7328125</x:v>
      </x:c>
      <x:c r="AG10" s="23" t="str">
        <x:v>consensus_exit</x:v>
      </x:c>
      <x:c r="AH10" s="23" t="n">
        <x:v>142</x:v>
      </x:c>
      <x:c r="AI10" s="65" t="str">
        <x:v>https://x.com/aleabitoreddit/status/2078130772121399553</x:v>
      </x:c>
      <x:c r="AJ10" s="50" t="str">
        <x:v>StockSavvyShay:bullish · aleabitoreddit:bullish</x:v>
      </x:c>
      <x:c r="AK10" s="50" t="str"/>
      <x:c r="AL10" s="50" t="str">
        <x:v>AAOI가 2027년 3분기에 분기 매출 14억 달러를 달성할 것이며, 이는 연간 56억 달러로 시가총액 80억 달러 대비 저평가되어 있음.</x:v>
      </x:c>
      <x:c r="AM10" s="50" t="str">
        <x:v>OK</x:v>
      </x:c>
    </x:row>
    <x:row r="11">
      <x:c r="A11" s="23" t="str">
        <x:v>AAOI-5</x:v>
      </x:c>
      <x:c r="B11" s="23" t="str">
        <x:v>AAOI</x:v>
      </x:c>
      <x:c r="C11" s="53" t="n">
        <x:v>46233.31025462963</x:v>
      </x:c>
      <x:c r="D11" s="23" t="str">
        <x:v>entry</x:v>
      </x:c>
      <x:c r="E11" s="23" t="str">
        <x:v>positive</x:v>
      </x:c>
      <x:c r="F11" s="23" t="str">
        <x:v>mixed</x:v>
      </x:c>
      <x:c r="G11" s="23" t="n">
        <x:v>2</x:v>
      </x:c>
      <x:c r="H11" s="23" t="n">
        <x:v>2</x:v>
      </x:c>
      <x:c r="I11" s="23" t="n">
        <x:v>0</x:v>
      </x:c>
      <x:c r="J11" s="56" t="n">
        <x:v>46233.5625</x:v>
      </x:c>
      <x:c r="K11" s="59" t="n">
        <x:v>83.3499984741211</x:v>
      </x:c>
      <x:c r="L11" s="23" t="str">
        <x:v>raw_open × adjusted_close / raw_close</x:v>
      </x:c>
      <x:c r="M11" s="56" t="n">
        <x:v>46234.5625</x:v>
      </x:c>
      <x:c r="N11" s="59" t="n">
        <x:v>94.31999969482422</x:v>
      </x:c>
      <x:c r="O11" s="62" t="n">
        <x:f>IF(OR(K11="",N11=""),"",N11/K11-1)</x:f>
        <x:v>0.13161369431949232</x:v>
      </x:c>
      <x:c r="P11" s="62" t="n">
        <x:f>IF(O11="","",IF(E11="positive",O11,-O11))</x:f>
        <x:v>0.13161369431949232</x:v>
      </x:c>
      <x:c r="Q11" s="56"/>
      <x:c r="R11" s="59"/>
      <x:c r="S11" s="62" t="str">
        <x:f>IF(OR(K11="",R11=""),"",R11/K11-1)</x:f>
      </x:c>
      <x:c r="T11" s="62" t="str">
        <x:f>IF(S11="","",IF(E11="positive",S11,-S11))</x:f>
      </x:c>
      <x:c r="U11" s="23" t="str">
        <x:f>IF(T11="","평가 대기",IF(T11&gt;='Assumptions'!$B$9,"방향 일치",IF(T11&lt;=-'Assumptions'!$B$9,"방향 불일치","보합")))</x:f>
        <x:v>평가 대기</x:v>
      </x:c>
      <x:c r="V11" s="56"/>
      <x:c r="W11" s="59"/>
      <x:c r="X11" s="62" t="str">
        <x:f>IF(OR(K11="",W11=""),"",W11/K11-1)</x:f>
      </x:c>
      <x:c r="Y11" s="62" t="str">
        <x:f>IF(X11="","",IF(E11="positive",X11,-X11))</x:f>
      </x:c>
      <x:c r="Z11" s="23" t="str">
        <x:f>IF(Y11="","평가 대기",IF(Y11&gt;='Assumptions'!$B$9,"방향 일치",IF(Y11&lt;=-'Assumptions'!$B$9,"방향 불일치","보합")))</x:f>
        <x:v>평가 대기</x:v>
      </x:c>
      <x:c r="AA11" s="56"/>
      <x:c r="AB11" s="59"/>
      <x:c r="AC11" s="62" t="str">
        <x:f>IF(OR(K11="",AB11=""),"",AB11/K11-1)</x:f>
      </x:c>
      <x:c r="AD11" s="62" t="str">
        <x:f>IF(AC11="","",IF(E11="positive",AC11,-AC11))</x:f>
      </x:c>
      <x:c r="AE11" s="23" t="str">
        <x:f>IF(AD11="","평가 대기",IF(AD11&gt;='Assumptions'!$B$9,"방향 일치",IF(AD11&lt;=-'Assumptions'!$B$9,"방향 불일치","보합")))</x:f>
        <x:v>평가 대기</x:v>
      </x:c>
      <x:c r="AF11" s="53"/>
      <x:c r="AG11" s="23"/>
      <x:c r="AH11" s="23" t="n">
        <x:v>2484</x:v>
      </x:c>
      <x:c r="AI11" s="65" t="str">
        <x:v>https://x.com/aleabitoreddit/status/2082729600875205078</x:v>
      </x:c>
      <x:c r="AJ11" s="50" t="str">
        <x:v>StockSavvyShay:bullish · aleabitoreddit:bullish</x:v>
      </x:c>
      <x:c r="AK11" s="50" t="str"/>
      <x:c r="AL11" s="50" t="str">
        <x:v>AAOI는 연간 선행 매출 대비 시가총액이 1배에 근접하여 매우 저평가됨</x:v>
      </x:c>
      <x:c r="AM11" s="50" t="str">
        <x:v>OK</x:v>
      </x:c>
    </x:row>
    <x:row r="12">
      <x:c r="A12" s="23" t="str">
        <x:v>LITE-1</x:v>
      </x:c>
      <x:c r="B12" s="23" t="str">
        <x:v>LITE</x:v>
      </x:c>
      <x:c r="C12" s="53" t="n">
        <x:v>46229.584965277776</x:v>
      </x:c>
      <x:c r="D12" s="23" t="str">
        <x:v>entry</x:v>
      </x:c>
      <x:c r="E12" s="23" t="str">
        <x:v>positive</x:v>
      </x:c>
      <x:c r="F12" s="23" t="str">
        <x:v>insufficient</x:v>
      </x:c>
      <x:c r="G12" s="23" t="n">
        <x:v>2</x:v>
      </x:c>
      <x:c r="H12" s="23" t="n">
        <x:v>2</x:v>
      </x:c>
      <x:c r="I12" s="23" t="n">
        <x:v>0</x:v>
      </x:c>
      <x:c r="J12" s="56" t="n">
        <x:v>46230.5625</x:v>
      </x:c>
      <x:c r="K12" s="59" t="n">
        <x:v>767.8499755859375</x:v>
      </x:c>
      <x:c r="L12" s="23" t="str">
        <x:v>raw_open × adjusted_close / raw_close</x:v>
      </x:c>
      <x:c r="M12" s="56" t="n">
        <x:v>46234.5625</x:v>
      </x:c>
      <x:c r="N12" s="59" t="n">
        <x:v>713.9400024414062</x:v>
      </x:c>
      <x:c r="O12" s="62" t="n">
        <x:f>IF(OR(K12="",N12=""),"",N12/K12-1)</x:f>
        <x:v>-0.07020899245766488</x:v>
      </x:c>
      <x:c r="P12" s="62" t="n">
        <x:f>IF(O12="","",IF(E12="positive",O12,-O12))</x:f>
        <x:v>-0.07020899245766488</x:v>
      </x:c>
      <x:c r="Q12" s="56" t="n">
        <x:v>46234.5625</x:v>
      </x:c>
      <x:c r="R12" s="59" t="n">
        <x:v>713.9400024414062</x:v>
      </x:c>
      <x:c r="S12" s="62" t="n">
        <x:f>IF(OR(K12="",R12=""),"",R12/K12-1)</x:f>
        <x:v>-0.07020899245766488</x:v>
      </x:c>
      <x:c r="T12" s="62" t="n">
        <x:f>IF(S12="","",IF(E12="positive",S12,-S12))</x:f>
        <x:v>-0.07020899245766488</x:v>
      </x:c>
      <x:c r="U12" s="23" t="str">
        <x:f>IF(T12="","평가 대기",IF(T12&gt;='Assumptions'!$B$9,"방향 일치",IF(T12&lt;=-'Assumptions'!$B$9,"방향 불일치","보합")))</x:f>
        <x:v>방향 불일치</x:v>
      </x:c>
      <x:c r="V12" s="56"/>
      <x:c r="W12" s="59"/>
      <x:c r="X12" s="62" t="str">
        <x:f>IF(OR(K12="",W12=""),"",W12/K12-1)</x:f>
      </x:c>
      <x:c r="Y12" s="62" t="str">
        <x:f>IF(X12="","",IF(E12="positive",X12,-X12))</x:f>
      </x:c>
      <x:c r="Z12" s="23" t="str">
        <x:f>IF(Y12="","평가 대기",IF(Y12&gt;='Assumptions'!$B$9,"방향 일치",IF(Y12&lt;=-'Assumptions'!$B$9,"방향 불일치","보합")))</x:f>
        <x:v>평가 대기</x:v>
      </x:c>
      <x:c r="AA12" s="56"/>
      <x:c r="AB12" s="59"/>
      <x:c r="AC12" s="62" t="str">
        <x:f>IF(OR(K12="",AB12=""),"",AB12/K12-1)</x:f>
      </x:c>
      <x:c r="AD12" s="62" t="str">
        <x:f>IF(AC12="","",IF(E12="positive",AC12,-AC12))</x:f>
      </x:c>
      <x:c r="AE12" s="23" t="str">
        <x:f>IF(AD12="","평가 대기",IF(AD12&gt;='Assumptions'!$B$9,"방향 일치",IF(AD12&lt;=-'Assumptions'!$B$9,"방향 불일치","보합")))</x:f>
        <x:v>평가 대기</x:v>
      </x:c>
      <x:c r="AF12" s="53"/>
      <x:c r="AG12" s="23"/>
      <x:c r="AH12" s="23" t="n">
        <x:v>2055</x:v>
      </x:c>
      <x:c r="AI12" s="65" t="str">
        <x:v>https://x.com/StockSavvyShay/status/2081379601545351630</x:v>
      </x:c>
      <x:c r="AJ12" s="50" t="str">
        <x:v>aleabitoreddit:bullish · StockSavvyShay:bullish</x:v>
      </x:c>
      <x:c r="AK12" s="50" t="str"/>
      <x:c r="AL12" s="50" t="str">
        <x:v>광학 계층, 800G에서 1.6T 전환 수혜</x:v>
      </x:c>
      <x:c r="AM12" s="50" t="str">
        <x:v>OK</x:v>
      </x:c>
    </x:row>
    <x:row r="13">
      <x:c r="A13" s="23" t="str">
        <x:v>NVDA-1</x:v>
      </x:c>
      <x:c r="B13" s="23" t="str">
        <x:v>NVDA</x:v>
      </x:c>
      <x:c r="C13" s="53" t="n">
        <x:v>46178.66594907407</x:v>
      </x:c>
      <x:c r="D13" s="23" t="str">
        <x:v>entry</x:v>
      </x:c>
      <x:c r="E13" s="23" t="str">
        <x:v>positive</x:v>
      </x:c>
      <x:c r="F13" s="23" t="str">
        <x:v>insufficient</x:v>
      </x:c>
      <x:c r="G13" s="23" t="n">
        <x:v>2</x:v>
      </x:c>
      <x:c r="H13" s="23" t="n">
        <x:v>2</x:v>
      </x:c>
      <x:c r="I13" s="23" t="n">
        <x:v>0</x:v>
      </x:c>
      <x:c r="J13" s="56" t="n">
        <x:v>46181.5625</x:v>
      </x:c>
      <x:c r="K13" s="59" t="n">
        <x:v>210.17999267578125</x:v>
      </x:c>
      <x:c r="L13" s="23" t="str">
        <x:v>raw_open × adjusted_close / raw_close</x:v>
      </x:c>
      <x:c r="M13" s="56" t="n">
        <x:v>46234.5625</x:v>
      </x:c>
      <x:c r="N13" s="59" t="n">
        <x:v>200.75</x:v>
      </x:c>
      <x:c r="O13" s="62" t="n">
        <x:f>IF(OR(K13="",N13=""),"",N13/K13-1)</x:f>
        <x:v>-0.04486627178795144</x:v>
      </x:c>
      <x:c r="P13" s="62" t="n">
        <x:f>IF(O13="","",IF(E13="positive",O13,-O13))</x:f>
        <x:v>-0.04486627178795144</x:v>
      </x:c>
      <x:c r="Q13" s="56" t="n">
        <x:v>46185.5625</x:v>
      </x:c>
      <x:c r="R13" s="59" t="n">
        <x:v>205.19000244140625</x:v>
      </x:c>
      <x:c r="S13" s="62" t="n">
        <x:f>IF(OR(K13="",R13=""),"",R13/K13-1)</x:f>
        <x:v>-0.02374150922191931</x:v>
      </x:c>
      <x:c r="T13" s="62" t="n">
        <x:f>IF(S13="","",IF(E13="positive",S13,-S13))</x:f>
        <x:v>-0.02374150922191931</x:v>
      </x:c>
      <x:c r="U13" s="23" t="str">
        <x:f>IF(T13="","평가 대기",IF(T13&gt;='Assumptions'!$B$9,"방향 일치",IF(T13&lt;=-'Assumptions'!$B$9,"방향 불일치","보합")))</x:f>
        <x:v>방향 불일치</x:v>
      </x:c>
      <x:c r="V13" s="56" t="n">
        <x:v>46210.5625</x:v>
      </x:c>
      <x:c r="W13" s="59" t="n">
        <x:v>196.92999267578125</x:v>
      </x:c>
      <x:c r="X13" s="62" t="n">
        <x:f>IF(OR(K13="",W13=""),"",W13/K13-1)</x:f>
        <x:v>-0.06304120497539045</x:v>
      </x:c>
      <x:c r="Y13" s="62" t="n">
        <x:f>IF(X13="","",IF(E13="positive",X13,-X13))</x:f>
        <x:v>-0.06304120497539045</x:v>
      </x:c>
      <x:c r="Z13" s="23" t="str">
        <x:f>IF(Y13="","평가 대기",IF(Y13&gt;='Assumptions'!$B$9,"방향 일치",IF(Y13&lt;=-'Assumptions'!$B$9,"방향 불일치","보합")))</x:f>
        <x:v>방향 불일치</x:v>
      </x:c>
      <x:c r="AA13" s="56"/>
      <x:c r="AB13" s="59"/>
      <x:c r="AC13" s="62" t="str">
        <x:f>IF(OR(K13="",AB13=""),"",AB13/K13-1)</x:f>
      </x:c>
      <x:c r="AD13" s="62" t="str">
        <x:f>IF(AC13="","",IF(E13="positive",AC13,-AC13))</x:f>
      </x:c>
      <x:c r="AE13" s="23" t="str">
        <x:f>IF(AD13="","평가 대기",IF(AD13&gt;='Assumptions'!$B$9,"방향 일치",IF(AD13&lt;=-'Assumptions'!$B$9,"방향 불일치","보합")))</x:f>
        <x:v>평가 대기</x:v>
      </x:c>
      <x:c r="AF13" s="53" t="n">
        <x:v>46178.68777777778</x:v>
      </x:c>
      <x:c r="AG13" s="23" t="str">
        <x:v>consensus_exit</x:v>
      </x:c>
      <x:c r="AH13" s="23" t="n">
        <x:v>289</x:v>
      </x:c>
      <x:c r="AI13" s="65" t="str">
        <x:v>https://x.com/aleabitoreddit/status/2062927167936504133</x:v>
      </x:c>
      <x:c r="AJ13" s="50" t="str">
        <x:v>StockSavvyShay:bullish · aleabitoreddit:bullish</x:v>
      </x:c>
      <x:c r="AK13" s="50" t="str"/>
      <x:c r="AL13" s="50" t="str">
        <x:v>시장 조정에도 불구하고 AI 빌드아웃은 변함없어 장기 보유 유지</x:v>
      </x:c>
      <x:c r="AM13" s="50" t="str">
        <x:v>OK</x:v>
      </x:c>
    </x:row>
    <x:row r="14">
      <x:c r="A14" s="23" t="str">
        <x:v>NVDA-2</x:v>
      </x:c>
      <x:c r="B14" s="23" t="str">
        <x:v>NVDA</x:v>
      </x:c>
      <x:c r="C14" s="53" t="n">
        <x:v>46183.06520833333</x:v>
      </x:c>
      <x:c r="D14" s="23" t="str">
        <x:v>entry</x:v>
      </x:c>
      <x:c r="E14" s="23" t="str">
        <x:v>positive</x:v>
      </x:c>
      <x:c r="F14" s="23" t="str">
        <x:v>mixed</x:v>
      </x:c>
      <x:c r="G14" s="23" t="n">
        <x:v>2</x:v>
      </x:c>
      <x:c r="H14" s="23" t="n">
        <x:v>2</x:v>
      </x:c>
      <x:c r="I14" s="23" t="n">
        <x:v>0</x:v>
      </x:c>
      <x:c r="J14" s="56" t="n">
        <x:v>46183.5625</x:v>
      </x:c>
      <x:c r="K14" s="59" t="n">
        <x:v>204.42999267578125</x:v>
      </x:c>
      <x:c r="L14" s="23" t="str">
        <x:v>raw_open × adjusted_close / raw_close</x:v>
      </x:c>
      <x:c r="M14" s="56" t="n">
        <x:v>46234.5625</x:v>
      </x:c>
      <x:c r="N14" s="59" t="n">
        <x:v>200.75</x:v>
      </x:c>
      <x:c r="O14" s="62" t="n">
        <x:f>IF(OR(K14="",N14=""),"",N14/K14-1)</x:f>
        <x:v>-0.018001236646413177</x:v>
      </x:c>
      <x:c r="P14" s="62" t="n">
        <x:f>IF(O14="","",IF(E14="positive",O14,-O14))</x:f>
        <x:v>-0.018001236646413177</x:v>
      </x:c>
      <x:c r="Q14" s="56" t="n">
        <x:v>46189.5625</x:v>
      </x:c>
      <x:c r="R14" s="59" t="n">
        <x:v>207.41000366210938</x:v>
      </x:c>
      <x:c r="S14" s="62" t="n">
        <x:f>IF(OR(K14="",R14=""),"",R14/K14-1)</x:f>
        <x:v>0.014577171125052635</x:v>
      </x:c>
      <x:c r="T14" s="62" t="n">
        <x:f>IF(S14="","",IF(E14="positive",S14,-S14))</x:f>
        <x:v>0.014577171125052635</x:v>
      </x:c>
      <x:c r="U14" s="23" t="str">
        <x:f>IF(T14="","평가 대기",IF(T14&gt;='Assumptions'!$B$9,"방향 일치",IF(T14&lt;=-'Assumptions'!$B$9,"방향 불일치","보합")))</x:f>
        <x:v>보합</x:v>
      </x:c>
      <x:c r="V14" s="56" t="n">
        <x:v>46212.5625</x:v>
      </x:c>
      <x:c r="W14" s="59" t="n">
        <x:v>202.77999877929688</x:v>
      </x:c>
      <x:c r="X14" s="62" t="n">
        <x:f>IF(OR(K14="",W14=""),"",W14/K14-1)</x:f>
        <x:v>-0.008071192856232257</x:v>
      </x:c>
      <x:c r="Y14" s="62" t="n">
        <x:f>IF(X14="","",IF(E14="positive",X14,-X14))</x:f>
        <x:v>-0.008071192856232257</x:v>
      </x:c>
      <x:c r="Z14" s="23" t="str">
        <x:f>IF(Y14="","평가 대기",IF(Y14&gt;='Assumptions'!$B$9,"방향 일치",IF(Y14&lt;=-'Assumptions'!$B$9,"방향 불일치","보합")))</x:f>
        <x:v>보합</x:v>
      </x:c>
      <x:c r="AA14" s="56"/>
      <x:c r="AB14" s="59"/>
      <x:c r="AC14" s="62" t="str">
        <x:f>IF(OR(K14="",AB14=""),"",AB14/K14-1)</x:f>
      </x:c>
      <x:c r="AD14" s="62" t="str">
        <x:f>IF(AC14="","",IF(E14="positive",AC14,-AC14))</x:f>
      </x:c>
      <x:c r="AE14" s="23" t="str">
        <x:f>IF(AD14="","평가 대기",IF(AD14&gt;='Assumptions'!$B$9,"방향 일치",IF(AD14&lt;=-'Assumptions'!$B$9,"방향 불일치","보합")))</x:f>
        <x:v>평가 대기</x:v>
      </x:c>
      <x:c r="AF14" s="53" t="n">
        <x:v>46189.21780092592</x:v>
      </x:c>
      <x:c r="AG14" s="23" t="str">
        <x:v>consensus_exit</x:v>
      </x:c>
      <x:c r="AH14" s="23" t="n">
        <x:v>370</x:v>
      </x:c>
      <x:c r="AI14" s="65" t="str">
        <x:v>https://x.com/aleabitoreddit/status/2064521404859719681</x:v>
      </x:c>
      <x:c r="AJ14" s="50" t="str">
        <x:v>StockSavvyShay:bullish · aleabitoreddit:bullish</x:v>
      </x:c>
      <x:c r="AK14" s="50" t="str"/>
      <x:c r="AL14" s="50" t="str">
        <x:v>CPO 스케일 아웃이 예상보다 빠르게 진행 중이며, 올해 하반기 CPO 램프업 예정</x:v>
      </x:c>
      <x:c r="AM14" s="50" t="str">
        <x:v>OK</x:v>
      </x:c>
    </x:row>
    <x:row r="15">
      <x:c r="A15" s="23" t="str">
        <x:v>NVDA-3</x:v>
      </x:c>
      <x:c r="B15" s="23" t="str">
        <x:v>NVDA</x:v>
      </x:c>
      <x:c r="C15" s="53" t="n">
        <x:v>46189.99847222222</x:v>
      </x:c>
      <x:c r="D15" s="23" t="str">
        <x:v>entry</x:v>
      </x:c>
      <x:c r="E15" s="23" t="str">
        <x:v>positive</x:v>
      </x:c>
      <x:c r="F15" s="23" t="str">
        <x:v>mixed</x:v>
      </x:c>
      <x:c r="G15" s="23" t="n">
        <x:v>2</x:v>
      </x:c>
      <x:c r="H15" s="23" t="n">
        <x:v>2</x:v>
      </x:c>
      <x:c r="I15" s="23" t="n">
        <x:v>0</x:v>
      </x:c>
      <x:c r="J15" s="56" t="n">
        <x:v>46190.5625</x:v>
      </x:c>
      <x:c r="K15" s="59" t="n">
        <x:v>208.52999877929688</x:v>
      </x:c>
      <x:c r="L15" s="23" t="str">
        <x:v>raw_open × adjusted_close / raw_close</x:v>
      </x:c>
      <x:c r="M15" s="56" t="n">
        <x:v>46234.5625</x:v>
      </x:c>
      <x:c r="N15" s="59" t="n">
        <x:v>200.75</x:v>
      </x:c>
      <x:c r="O15" s="62" t="n">
        <x:f>IF(OR(K15="",N15=""),"",N15/K15-1)</x:f>
        <x:v>-0.03730877487574835</x:v>
      </x:c>
      <x:c r="P15" s="62" t="n">
        <x:f>IF(O15="","",IF(E15="positive",O15,-O15))</x:f>
        <x:v>-0.03730877487574835</x:v>
      </x:c>
      <x:c r="Q15" s="56" t="n">
        <x:v>46197.5625</x:v>
      </x:c>
      <x:c r="R15" s="59" t="n">
        <x:v>199</x:v>
      </x:c>
      <x:c r="S15" s="62" t="n">
        <x:f>IF(OR(K15="",R15=""),"",R15/K15-1)</x:f>
        <x:v>-0.04570085280335712</x:v>
      </x:c>
      <x:c r="T15" s="62" t="n">
        <x:f>IF(S15="","",IF(E15="positive",S15,-S15))</x:f>
        <x:v>-0.04570085280335712</x:v>
      </x:c>
      <x:c r="U15" s="23" t="str">
        <x:f>IF(T15="","평가 대기",IF(T15&gt;='Assumptions'!$B$9,"방향 일치",IF(T15&lt;=-'Assumptions'!$B$9,"방향 불일치","보합")))</x:f>
        <x:v>방향 불일치</x:v>
      </x:c>
      <x:c r="V15" s="56" t="n">
        <x:v>46219.5625</x:v>
      </x:c>
      <x:c r="W15" s="59" t="n">
        <x:v>207.39999389648438</x:v>
      </x:c>
      <x:c r="X15" s="62" t="n">
        <x:f>IF(OR(K15="",W15=""),"",W15/K15-1)</x:f>
        <x:v>-0.005418908020080493</x:v>
      </x:c>
      <x:c r="Y15" s="62" t="n">
        <x:f>IF(X15="","",IF(E15="positive",X15,-X15))</x:f>
        <x:v>-0.005418908020080493</x:v>
      </x:c>
      <x:c r="Z15" s="23" t="str">
        <x:f>IF(Y15="","평가 대기",IF(Y15&gt;='Assumptions'!$B$9,"방향 일치",IF(Y15&lt;=-'Assumptions'!$B$9,"방향 불일치","보합")))</x:f>
        <x:v>보합</x:v>
      </x:c>
      <x:c r="AA15" s="56"/>
      <x:c r="AB15" s="59"/>
      <x:c r="AC15" s="62" t="str">
        <x:f>IF(OR(K15="",AB15=""),"",AB15/K15-1)</x:f>
      </x:c>
      <x:c r="AD15" s="62" t="str">
        <x:f>IF(AC15="","",IF(E15="positive",AC15,-AC15))</x:f>
      </x:c>
      <x:c r="AE15" s="23" t="str">
        <x:f>IF(AD15="","평가 대기",IF(AD15&gt;='Assumptions'!$B$9,"방향 일치",IF(AD15&lt;=-'Assumptions'!$B$9,"방향 불일치","보합")))</x:f>
        <x:v>평가 대기</x:v>
      </x:c>
      <x:c r="AF15" s="53" t="n">
        <x:v>46228.48295138889</x:v>
      </x:c>
      <x:c r="AG15" s="23" t="str">
        <x:v>consensus_exit</x:v>
      </x:c>
      <x:c r="AH15" s="23" t="n">
        <x:v>573</x:v>
      </x:c>
      <x:c r="AI15" s="65" t="str">
        <x:v>https://x.com/aleabitoreddit/status/2067033934194696469</x:v>
      </x:c>
      <x:c r="AJ15" s="50" t="str">
        <x:v>StockSavvyShay:bullish · aleabitoreddit:bullish</x:v>
      </x:c>
      <x:c r="AK15" s="50" t="str"/>
      <x:c r="AL15" s="50" t="str">
        <x:v>NVDA 수요 증가로 광학 엔진 전망 상향 조정</x:v>
      </x:c>
      <x:c r="AM15" s="50" t="str">
        <x:v>OK</x:v>
      </x:c>
    </x:row>
    <x:row r="16">
      <x:c r="A16" s="23" t="str">
        <x:v>NVDA-4</x:v>
      </x:c>
      <x:c r="B16" s="23" t="str">
        <x:v>NVDA</x:v>
      </x:c>
      <x:c r="C16" s="53" t="n">
        <x:v>46228.57201388889</x:v>
      </x:c>
      <x:c r="D16" s="23" t="str">
        <x:v>entry</x:v>
      </x:c>
      <x:c r="E16" s="23" t="str">
        <x:v>positive</x:v>
      </x:c>
      <x:c r="F16" s="23" t="str">
        <x:v>mixed</x:v>
      </x:c>
      <x:c r="G16" s="23" t="n">
        <x:v>4</x:v>
      </x:c>
      <x:c r="H16" s="23" t="n">
        <x:v>3</x:v>
      </x:c>
      <x:c r="I16" s="23" t="n">
        <x:v>1</x:v>
      </x:c>
      <x:c r="J16" s="56" t="n">
        <x:v>46230.5625</x:v>
      </x:c>
      <x:c r="K16" s="59" t="n">
        <x:v>208.1999969482422</x:v>
      </x:c>
      <x:c r="L16" s="23" t="str">
        <x:v>raw_open × adjusted_close / raw_close</x:v>
      </x:c>
      <x:c r="M16" s="56" t="n">
        <x:v>46234.5625</x:v>
      </x:c>
      <x:c r="N16" s="59" t="n">
        <x:v>200.75</x:v>
      </x:c>
      <x:c r="O16" s="62" t="n">
        <x:f>IF(OR(K16="",N16=""),"",N16/K16-1)</x:f>
        <x:v>-0.03578288692335685</x:v>
      </x:c>
      <x:c r="P16" s="62" t="n">
        <x:f>IF(O16="","",IF(E16="positive",O16,-O16))</x:f>
        <x:v>-0.03578288692335685</x:v>
      </x:c>
      <x:c r="Q16" s="56" t="n">
        <x:v>46234.5625</x:v>
      </x:c>
      <x:c r="R16" s="59" t="n">
        <x:v>200.75</x:v>
      </x:c>
      <x:c r="S16" s="62" t="n">
        <x:f>IF(OR(K16="",R16=""),"",R16/K16-1)</x:f>
        <x:v>-0.03578288692335685</x:v>
      </x:c>
      <x:c r="T16" s="62" t="n">
        <x:f>IF(S16="","",IF(E16="positive",S16,-S16))</x:f>
        <x:v>-0.03578288692335685</x:v>
      </x:c>
      <x:c r="U16" s="23" t="str">
        <x:f>IF(T16="","평가 대기",IF(T16&gt;='Assumptions'!$B$9,"방향 일치",IF(T16&lt;=-'Assumptions'!$B$9,"방향 불일치","보합")))</x:f>
        <x:v>방향 불일치</x:v>
      </x:c>
      <x:c r="V16" s="56"/>
      <x:c r="W16" s="59"/>
      <x:c r="X16" s="62" t="str">
        <x:f>IF(OR(K16="",W16=""),"",W16/K16-1)</x:f>
      </x:c>
      <x:c r="Y16" s="62" t="str">
        <x:f>IF(X16="","",IF(E16="positive",X16,-X16))</x:f>
      </x:c>
      <x:c r="Z16" s="23" t="str">
        <x:f>IF(Y16="","평가 대기",IF(Y16&gt;='Assumptions'!$B$9,"방향 일치",IF(Y16&lt;=-'Assumptions'!$B$9,"방향 불일치","보합")))</x:f>
        <x:v>평가 대기</x:v>
      </x:c>
      <x:c r="AA16" s="56"/>
      <x:c r="AB16" s="59"/>
      <x:c r="AC16" s="62" t="str">
        <x:f>IF(OR(K16="",AB16=""),"",AB16/K16-1)</x:f>
      </x:c>
      <x:c r="AD16" s="62" t="str">
        <x:f>IF(AC16="","",IF(E16="positive",AC16,-AC16))</x:f>
      </x:c>
      <x:c r="AE16" s="23" t="str">
        <x:f>IF(AD16="","평가 대기",IF(AD16&gt;='Assumptions'!$B$9,"방향 일치",IF(AD16&lt;=-'Assumptions'!$B$9,"방향 불일치","보합")))</x:f>
        <x:v>평가 대기</x:v>
      </x:c>
      <x:c r="AF16" s="53" t="n">
        <x:v>46230.02074074074</x:v>
      </x:c>
      <x:c r="AG16" s="23" t="str">
        <x:v>consensus_exit</x:v>
      </x:c>
      <x:c r="AH16" s="23" t="n">
        <x:v>1934</x:v>
      </x:c>
      <x:c r="AI16" s="65" t="str">
        <x:v>https://x.com/StockSavvyShay/status/2081012516990431378</x:v>
      </x:c>
      <x:c r="AJ16" s="50" t="str">
        <x:v>StockSavvyShay:bullish · aleabitoreddit:bullish · Beth_Kindig:bullish · StockMKTNewz:bearish</x:v>
      </x:c>
      <x:c r="AK16" s="50" t="str"/>
      <x:c r="AL16" s="50" t="str">
        <x:v>NVDA가 글로벌 AI 경제를 주도한다.</x:v>
      </x:c>
      <x:c r="AM16" s="50" t="str">
        <x:v>OK</x:v>
      </x:c>
    </x:row>
    <x:row r="17">
      <x:c r="A17" s="23" t="str">
        <x:v>NVDA-5</x:v>
      </x:c>
      <x:c r="B17" s="23" t="str">
        <x:v>NVDA</x:v>
      </x:c>
      <x:c r="C17" s="53" t="n">
        <x:v>46230.54324074074</x:v>
      </x:c>
      <x:c r="D17" s="23" t="str">
        <x:v>entry</x:v>
      </x:c>
      <x:c r="E17" s="23" t="str">
        <x:v>positive</x:v>
      </x:c>
      <x:c r="F17" s="23" t="str">
        <x:v>mixed</x:v>
      </x:c>
      <x:c r="G17" s="23" t="n">
        <x:v>4</x:v>
      </x:c>
      <x:c r="H17" s="23" t="n">
        <x:v>3</x:v>
      </x:c>
      <x:c r="I17" s="23" t="n">
        <x:v>1</x:v>
      </x:c>
      <x:c r="J17" s="56" t="n">
        <x:v>46230.5625</x:v>
      </x:c>
      <x:c r="K17" s="59" t="n">
        <x:v>208.1999969482422</x:v>
      </x:c>
      <x:c r="L17" s="23" t="str">
        <x:v>raw_open × adjusted_close / raw_close</x:v>
      </x:c>
      <x:c r="M17" s="56" t="n">
        <x:v>46234.5625</x:v>
      </x:c>
      <x:c r="N17" s="59" t="n">
        <x:v>200.75</x:v>
      </x:c>
      <x:c r="O17" s="62" t="n">
        <x:f>IF(OR(K17="",N17=""),"",N17/K17-1)</x:f>
        <x:v>-0.03578288692335685</x:v>
      </x:c>
      <x:c r="P17" s="62" t="n">
        <x:f>IF(O17="","",IF(E17="positive",O17,-O17))</x:f>
        <x:v>-0.03578288692335685</x:v>
      </x:c>
      <x:c r="Q17" s="56" t="n">
        <x:v>46234.5625</x:v>
      </x:c>
      <x:c r="R17" s="59" t="n">
        <x:v>200.75</x:v>
      </x:c>
      <x:c r="S17" s="62" t="n">
        <x:f>IF(OR(K17="",R17=""),"",R17/K17-1)</x:f>
        <x:v>-0.03578288692335685</x:v>
      </x:c>
      <x:c r="T17" s="62" t="n">
        <x:f>IF(S17="","",IF(E17="positive",S17,-S17))</x:f>
        <x:v>-0.03578288692335685</x:v>
      </x:c>
      <x:c r="U17" s="23" t="str">
        <x:f>IF(T17="","평가 대기",IF(T17&gt;='Assumptions'!$B$9,"방향 일치",IF(T17&lt;=-'Assumptions'!$B$9,"방향 불일치","보합")))</x:f>
        <x:v>방향 불일치</x:v>
      </x:c>
      <x:c r="V17" s="56"/>
      <x:c r="W17" s="59"/>
      <x:c r="X17" s="62" t="str">
        <x:f>IF(OR(K17="",W17=""),"",W17/K17-1)</x:f>
      </x:c>
      <x:c r="Y17" s="62" t="str">
        <x:f>IF(X17="","",IF(E17="positive",X17,-X17))</x:f>
      </x:c>
      <x:c r="Z17" s="23" t="str">
        <x:f>IF(Y17="","평가 대기",IF(Y17&gt;='Assumptions'!$B$9,"방향 일치",IF(Y17&lt;=-'Assumptions'!$B$9,"방향 불일치","보합")))</x:f>
        <x:v>평가 대기</x:v>
      </x:c>
      <x:c r="AA17" s="56"/>
      <x:c r="AB17" s="59"/>
      <x:c r="AC17" s="62" t="str">
        <x:f>IF(OR(K17="",AB17=""),"",AB17/K17-1)</x:f>
      </x:c>
      <x:c r="AD17" s="62" t="str">
        <x:f>IF(AC17="","",IF(E17="positive",AC17,-AC17))</x:f>
      </x:c>
      <x:c r="AE17" s="23" t="str">
        <x:f>IF(AD17="","평가 대기",IF(AD17&gt;='Assumptions'!$B$9,"방향 일치",IF(AD17&lt;=-'Assumptions'!$B$9,"방향 불일치","보합")))</x:f>
        <x:v>평가 대기</x:v>
      </x:c>
      <x:c r="AF17" s="53" t="n">
        <x:v>46230.62740740741</x:v>
      </x:c>
      <x:c r="AG17" s="23" t="str">
        <x:v>consensus_exit</x:v>
      </x:c>
      <x:c r="AH17" s="23" t="n">
        <x:v>2143</x:v>
      </x:c>
      <x:c r="AI17" s="65" t="str">
        <x:v>https://x.com/StockMKTNewz/status/2081726866646290640</x:v>
      </x:c>
      <x:c r="AJ17" s="50" t="str">
        <x:v>StockSavvyShay:bullish · aleabitoreddit:bullish · Beth_Kindig:bearish · StockMKTNewz:bullish</x:v>
      </x:c>
      <x:c r="AK17" s="50" t="str"/>
      <x:c r="AL17" s="50" t="str">
        <x:v>엔비디아의 SSI 투자 및 파트너십은 AI 분야에서의 입지를 강화하고 차세대 Vera Rubin 플랫폼의 활용을 확대할 긍정적 신호</x:v>
      </x:c>
      <x:c r="AM17" s="50" t="str">
        <x:v>OK</x:v>
      </x:c>
    </x:row>
    <x:row r="18">
      <x:c r="A18" s="23" t="str">
        <x:v>NVDA-6</x:v>
      </x:c>
      <x:c r="B18" s="23" t="str">
        <x:v>NVDA</x:v>
      </x:c>
      <x:c r="C18" s="53" t="n">
        <x:v>46230.69520833333</x:v>
      </x:c>
      <x:c r="D18" s="23" t="str">
        <x:v>entry</x:v>
      </x:c>
      <x:c r="E18" s="23" t="str">
        <x:v>positive</x:v>
      </x:c>
      <x:c r="F18" s="23" t="str">
        <x:v>mixed</x:v>
      </x:c>
      <x:c r="G18" s="23" t="n">
        <x:v>4</x:v>
      </x:c>
      <x:c r="H18" s="23" t="n">
        <x:v>3</x:v>
      </x:c>
      <x:c r="I18" s="23" t="n">
        <x:v>1</x:v>
      </x:c>
      <x:c r="J18" s="56" t="n">
        <x:v>46231.5625</x:v>
      </x:c>
      <x:c r="K18" s="59" t="n">
        <x:v>195</x:v>
      </x:c>
      <x:c r="L18" s="23" t="str">
        <x:v>raw_open × adjusted_close / raw_close</x:v>
      </x:c>
      <x:c r="M18" s="56" t="n">
        <x:v>46234.5625</x:v>
      </x:c>
      <x:c r="N18" s="59" t="n">
        <x:v>200.75</x:v>
      </x:c>
      <x:c r="O18" s="62" t="n">
        <x:f>IF(OR(K18="",N18=""),"",N18/K18-1)</x:f>
        <x:v>0.029487179487179382</x:v>
      </x:c>
      <x:c r="P18" s="62" t="n">
        <x:f>IF(O18="","",IF(E18="positive",O18,-O18))</x:f>
        <x:v>0.029487179487179382</x:v>
      </x:c>
      <x:c r="Q18" s="56"/>
      <x:c r="R18" s="59"/>
      <x:c r="S18" s="62" t="str">
        <x:f>IF(OR(K18="",R18=""),"",R18/K18-1)</x:f>
      </x:c>
      <x:c r="T18" s="62" t="str">
        <x:f>IF(S18="","",IF(E18="positive",S18,-S18))</x:f>
      </x:c>
      <x:c r="U18" s="23" t="str">
        <x:f>IF(T18="","평가 대기",IF(T18&gt;='Assumptions'!$B$9,"방향 일치",IF(T18&lt;=-'Assumptions'!$B$9,"방향 불일치","보합")))</x:f>
        <x:v>평가 대기</x:v>
      </x:c>
      <x:c r="V18" s="56"/>
      <x:c r="W18" s="59"/>
      <x:c r="X18" s="62" t="str">
        <x:f>IF(OR(K18="",W18=""),"",W18/K18-1)</x:f>
      </x:c>
      <x:c r="Y18" s="62" t="str">
        <x:f>IF(X18="","",IF(E18="positive",X18,-X18))</x:f>
      </x:c>
      <x:c r="Z18" s="23" t="str">
        <x:f>IF(Y18="","평가 대기",IF(Y18&gt;='Assumptions'!$B$9,"방향 일치",IF(Y18&lt;=-'Assumptions'!$B$9,"방향 불일치","보합")))</x:f>
        <x:v>평가 대기</x:v>
      </x:c>
      <x:c r="AA18" s="56"/>
      <x:c r="AB18" s="59"/>
      <x:c r="AC18" s="62" t="str">
        <x:f>IF(OR(K18="",AB18=""),"",AB18/K18-1)</x:f>
      </x:c>
      <x:c r="AD18" s="62" t="str">
        <x:f>IF(AC18="","",IF(E18="positive",AC18,-AC18))</x:f>
      </x:c>
      <x:c r="AE18" s="23" t="str">
        <x:f>IF(AD18="","평가 대기",IF(AD18&gt;='Assumptions'!$B$9,"방향 일치",IF(AD18&lt;=-'Assumptions'!$B$9,"방향 불일치","보합")))</x:f>
        <x:v>평가 대기</x:v>
      </x:c>
      <x:c r="AF18" s="53"/>
      <x:c r="AG18" s="23"/>
      <x:c r="AH18" s="23" t="n">
        <x:v>2174</x:v>
      </x:c>
      <x:c r="AI18" s="65" t="str">
        <x:v>https://x.com/StockSavvyShay/status/2081781936868233356</x:v>
      </x:c>
      <x:c r="AJ18" s="50" t="str">
        <x:v>StockSavvyShay:bullish · aleabitoreddit:bullish · Beth_Kindig:bearish · StockMKTNewz:bullish</x:v>
      </x:c>
      <x:c r="AK18" s="50" t="str"/>
      <x:c r="AL18" s="50" t="str">
        <x:v>NVDA는 AI 경제의 기반이 되고 있으며, 칩, 네트워킹, 소프트웨어가 주요 클라우드, 모델, 애플리케이션의 기반이 되어 수십 년간 산업과 함께 성장할 것</x:v>
      </x:c>
      <x:c r="AM18" s="50" t="str">
        <x:v>OK</x:v>
      </x:c>
    </x:row>
    <x:row r="19">
      <x:c r="A19" s="23" t="str">
        <x:v>ASTS-1</x:v>
      </x:c>
      <x:c r="B19" s="23" t="str">
        <x:v>ASTS</x:v>
      </x:c>
      <x:c r="C19" s="53" t="n">
        <x:v>46211.5346875</x:v>
      </x:c>
      <x:c r="D19" s="23" t="str">
        <x:v>entry</x:v>
      </x:c>
      <x:c r="E19" s="23" t="str">
        <x:v>positive</x:v>
      </x:c>
      <x:c r="F19" s="23" t="str">
        <x:v>mixed</x:v>
      </x:c>
      <x:c r="G19" s="23" t="n">
        <x:v>2</x:v>
      </x:c>
      <x:c r="H19" s="23" t="n">
        <x:v>2</x:v>
      </x:c>
      <x:c r="I19" s="23" t="n">
        <x:v>0</x:v>
      </x:c>
      <x:c r="J19" s="56" t="n">
        <x:v>46211.5625</x:v>
      </x:c>
      <x:c r="K19" s="59" t="n">
        <x:v>73.76000213623047</x:v>
      </x:c>
      <x:c r="L19" s="23" t="str">
        <x:v>raw_open × adjusted_close / raw_close</x:v>
      </x:c>
      <x:c r="M19" s="56" t="n">
        <x:v>46234.5625</x:v>
      </x:c>
      <x:c r="N19" s="59" t="n">
        <x:v>58.97999954223633</x:v>
      </x:c>
      <x:c r="O19" s="62" t="n">
        <x:f>IF(OR(K19="",N19=""),"",N19/K19-1)</x:f>
        <x:v>-0.2003796389091249</x:v>
      </x:c>
      <x:c r="P19" s="62" t="n">
        <x:f>IF(O19="","",IF(E19="positive",O19,-O19))</x:f>
        <x:v>-0.2003796389091249</x:v>
      </x:c>
      <x:c r="Q19" s="56" t="n">
        <x:v>46217.5625</x:v>
      </x:c>
      <x:c r="R19" s="59" t="n">
        <x:v>68.81999969482422</x:v>
      </x:c>
      <x:c r="S19" s="62" t="n">
        <x:f>IF(OR(K19="",R19=""),"",R19/K19-1)</x:f>
        <x:v>-0.06697400079086702</x:v>
      </x:c>
      <x:c r="T19" s="62" t="n">
        <x:f>IF(S19="","",IF(E19="positive",S19,-S19))</x:f>
        <x:v>-0.06697400079086702</x:v>
      </x:c>
      <x:c r="U19" s="23" t="str">
        <x:f>IF(T19="","평가 대기",IF(T19&gt;='Assumptions'!$B$9,"방향 일치",IF(T19&lt;=-'Assumptions'!$B$9,"방향 불일치","보합")))</x:f>
        <x:v>방향 불일치</x:v>
      </x:c>
      <x:c r="V19" s="56"/>
      <x:c r="W19" s="59"/>
      <x:c r="X19" s="62" t="str">
        <x:f>IF(OR(K19="",W19=""),"",W19/K19-1)</x:f>
      </x:c>
      <x:c r="Y19" s="62" t="str">
        <x:f>IF(X19="","",IF(E19="positive",X19,-X19))</x:f>
      </x:c>
      <x:c r="Z19" s="23" t="str">
        <x:f>IF(Y19="","평가 대기",IF(Y19&gt;='Assumptions'!$B$9,"방향 일치",IF(Y19&lt;=-'Assumptions'!$B$9,"방향 불일치","보합")))</x:f>
        <x:v>평가 대기</x:v>
      </x:c>
      <x:c r="AA19" s="56"/>
      <x:c r="AB19" s="59"/>
      <x:c r="AC19" s="62" t="str">
        <x:f>IF(OR(K19="",AB19=""),"",AB19/K19-1)</x:f>
      </x:c>
      <x:c r="AD19" s="62" t="str">
        <x:f>IF(AC19="","",IF(E19="positive",AC19,-AC19))</x:f>
      </x:c>
      <x:c r="AE19" s="23" t="str">
        <x:f>IF(AD19="","평가 대기",IF(AD19&gt;='Assumptions'!$B$9,"방향 일치",IF(AD19&lt;=-'Assumptions'!$B$9,"방향 불일치","보합")))</x:f>
        <x:v>평가 대기</x:v>
      </x:c>
      <x:c r="AF19" s="53" t="n">
        <x:v>46223.94960648148</x:v>
      </x:c>
      <x:c r="AG19" s="23" t="str">
        <x:v>consensus_exit</x:v>
      </x:c>
      <x:c r="AH19" s="23" t="n">
        <x:v>17</x:v>
      </x:c>
      <x:c r="AI19" s="65" t="str">
        <x:v>https://x.com/aleabitoreddit/status/2074838397341065516</x:v>
      </x:c>
      <x:c r="AJ19" s="50" t="str">
        <x:v>StockSavvyShay:bullish · aleabitoreddit:bullish</x:v>
      </x:c>
      <x:c r="AK19" s="50" t="str"/>
      <x:c r="AL19" s="50" t="str">
        <x:v>블루 오리진의 높은 평가액이 ASTS의 상대적 가치 평가에 긍정적 기준을 제공</x:v>
      </x:c>
      <x:c r="AM19" s="50" t="str">
        <x:v>OK</x:v>
      </x:c>
    </x:row>
    <x:row r="20">
      <x:c r="A20" s="24" t="str">
        <x:v>ASTS-2</x:v>
      </x:c>
      <x:c r="B20" s="24" t="str">
        <x:v>ASTS</x:v>
      </x:c>
      <x:c r="C20" s="54" t="n">
        <x:v>46227.6125</x:v>
      </x:c>
      <x:c r="D20" s="24" t="str">
        <x:v>entry</x:v>
      </x:c>
      <x:c r="E20" s="24" t="str">
        <x:v>positive</x:v>
      </x:c>
      <x:c r="F20" s="24" t="str">
        <x:v>mixed</x:v>
      </x:c>
      <x:c r="G20" s="24" t="n">
        <x:v>2</x:v>
      </x:c>
      <x:c r="H20" s="24" t="n">
        <x:v>2</x:v>
      </x:c>
      <x:c r="I20" s="24" t="n">
        <x:v>0</x:v>
      </x:c>
      <x:c r="J20" s="57" t="n">
        <x:v>46230.5625</x:v>
      </x:c>
      <x:c r="K20" s="60" t="n">
        <x:v>56.43000030517578</x:v>
      </x:c>
      <x:c r="L20" s="24" t="str">
        <x:v>raw_open × adjusted_close / raw_close</x:v>
      </x:c>
      <x:c r="M20" s="57" t="n">
        <x:v>46234.5625</x:v>
      </x:c>
      <x:c r="N20" s="60" t="n">
        <x:v>58.97999954223633</x:v>
      </x:c>
      <x:c r="O20" s="63" t="n">
        <x:f>IF(OR(K20="",N20=""),"",N20/K20-1)</x:f>
        <x:v>0.04518871563476945</x:v>
      </x:c>
      <x:c r="P20" s="63" t="n">
        <x:f>IF(O20="","",IF(E20="positive",O20,-O20))</x:f>
        <x:v>0.04518871563476945</x:v>
      </x:c>
      <x:c r="Q20" s="57" t="n">
        <x:v>46234.5625</x:v>
      </x:c>
      <x:c r="R20" s="60" t="n">
        <x:v>58.97999954223633</x:v>
      </x:c>
      <x:c r="S20" s="63" t="n">
        <x:f>IF(OR(K20="",R20=""),"",R20/K20-1)</x:f>
        <x:v>0.04518871563476945</x:v>
      </x:c>
      <x:c r="T20" s="63" t="n">
        <x:f>IF(S20="","",IF(E20="positive",S20,-S20))</x:f>
        <x:v>0.04518871563476945</x:v>
      </x:c>
      <x:c r="U20" s="24" t="str">
        <x:f>IF(T20="","평가 대기",IF(T20&gt;='Assumptions'!$B$9,"방향 일치",IF(T20&lt;=-'Assumptions'!$B$9,"방향 불일치","보합")))</x:f>
        <x:v>방향 일치</x:v>
      </x:c>
      <x:c r="V20" s="57"/>
      <x:c r="W20" s="60"/>
      <x:c r="X20" s="63" t="str">
        <x:f>IF(OR(K20="",W20=""),"",W20/K20-1)</x:f>
      </x:c>
      <x:c r="Y20" s="63" t="str">
        <x:f>IF(X20="","",IF(E20="positive",X20,-X20))</x:f>
      </x:c>
      <x:c r="Z20" s="24" t="str">
        <x:f>IF(Y20="","평가 대기",IF(Y20&gt;='Assumptions'!$B$9,"방향 일치",IF(Y20&lt;=-'Assumptions'!$B$9,"방향 불일치","보합")))</x:f>
        <x:v>평가 대기</x:v>
      </x:c>
      <x:c r="AA20" s="57"/>
      <x:c r="AB20" s="60"/>
      <x:c r="AC20" s="63" t="str">
        <x:f>IF(OR(K20="",AB20=""),"",AB20/K20-1)</x:f>
      </x:c>
      <x:c r="AD20" s="63" t="str">
        <x:f>IF(AC20="","",IF(E20="positive",AC20,-AC20))</x:f>
      </x:c>
      <x:c r="AE20" s="24" t="str">
        <x:f>IF(AD20="","평가 대기",IF(AD20&gt;='Assumptions'!$B$9,"방향 일치",IF(AD20&lt;=-'Assumptions'!$B$9,"방향 불일치","보합")))</x:f>
        <x:v>평가 대기</x:v>
      </x:c>
      <x:c r="AF20" s="54"/>
      <x:c r="AG20" s="24"/>
      <x:c r="AH20" s="24" t="n">
        <x:v>1866</x:v>
      </x:c>
      <x:c r="AI20" s="66" t="str">
        <x:v>https://x.com/StockSavvyShay/status/2080664804004712746</x:v>
      </x:c>
      <x:c r="AJ20" s="51" t="str">
        <x:v>StockSavvyShay:bullish · aleabitoreddit:bullish</x:v>
      </x:c>
      <x:c r="AK20" s="51" t="str"/>
      <x:c r="AL20" s="51" t="str">
        <x:v>VZ의 SPCX MVNO 거부는 ASTS의 통신사 우선 모델을 지지하며, VZ와의 합작 투자를 통해 위성 연결을 제공할 계획이 ASTS에 긍정적이다.</x:v>
      </x:c>
      <x:c r="AM20" s="51" t="str">
        <x:v>OK</x:v>
      </x:c>
    </x:row>
  </x:sheetData>
  <x:mergeCells>
    <x:mergeCell ref="A1:AI1"/>
    <x:mergeCell ref="A2:AI2"/>
  </x:mergeCells>
  <x:conditionalFormatting sqref="U6:U20">
    <x:cfRule type="containsText" dxfId="0" priority="1" operator="containsText" text="방향 일치"/>
    <x:cfRule type="containsText" dxfId="1" priority="2" operator="containsText" text="방향 불일치"/>
    <x:cfRule type="containsText" dxfId="2" priority="3" operator="containsText" text="보합"/>
  </x:conditionalFormatting>
  <x:conditionalFormatting sqref="Z6:Z20">
    <x:cfRule type="containsText" dxfId="3" priority="4" operator="containsText" text="방향 일치"/>
    <x:cfRule type="containsText" dxfId="4" priority="5" operator="containsText" text="방향 불일치"/>
    <x:cfRule type="containsText" dxfId="5" priority="6" operator="containsText" text="보합"/>
  </x:conditionalFormatting>
  <x:conditionalFormatting sqref="AE6:AE20">
    <x:cfRule type="containsText" dxfId="6" priority="7" operator="containsText" text="방향 일치"/>
    <x:cfRule type="containsText" dxfId="7" priority="8" operator="containsText" text="방향 불일치"/>
    <x:cfRule type="containsText" dxfId="8" priority="9" operator="containsText" text="보합"/>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s>
  <x:sheetData>
    <x:row r="1" ht="36" customHeight="1">
      <x:c r="A1" s="3" t="str">
        <x:v>시점 고정 종합 상태 Replay Audit</x:v>
      </x:c>
      <x:c r="B1" s="3" t="str">
        <x:v>시점 고정 종합 상태 Replay Audit</x:v>
      </x:c>
      <x:c r="C1" s="3" t="str">
        <x:v>시점 고정 종합 상태 Replay Audit</x:v>
      </x:c>
      <x:c r="D1" s="3" t="str">
        <x:v>시점 고정 종합 상태 Replay Audit</x:v>
      </x:c>
      <x:c r="E1" s="3" t="str">
        <x:v>시점 고정 종합 상태 Replay Audit</x:v>
      </x:c>
      <x:c r="F1" s="3" t="str">
        <x:v>시점 고정 종합 상태 Replay Audit</x:v>
      </x:c>
      <x:c r="G1" s="3" t="str">
        <x:v>시점 고정 종합 상태 Replay Audit</x:v>
      </x:c>
      <x:c r="H1" s="3" t="str">
        <x:v>시점 고정 종합 상태 Replay Audit</x:v>
      </x:c>
      <x:c r="I1" s="3" t="str">
        <x:v>시점 고정 종합 상태 Replay Audit</x:v>
      </x:c>
      <x:c r="J1" s="3" t="str">
        <x:v>시점 고정 종합 상태 Replay Audit</x:v>
      </x:c>
      <x:c r="K1" s="3" t="str">
        <x:v>시점 고정 종합 상태 Replay Audit</x:v>
      </x:c>
      <x:c r="L1" s="3" t="str">
        <x:v>시점 고정 종합 상태 Replay Audit</x:v>
      </x:c>
      <x:c r="M1" s="3" t="str">
        <x:v>시점 고정 종합 상태 Replay Audit</x:v>
      </x:c>
      <x:c r="N1" s="3" t="str">
        <x:v>시점 고정 종합 상태 Replay Audit</x:v>
      </x:c>
      <x:c r="O1" s="3" t="str">
        <x:v>시점 고정 종합 상태 Replay Audit</x:v>
      </x:c>
      <x:c r="P1" s="3" t="str">
        <x:v>시점 고정 종합 상태 Replay Audit</x:v>
      </x:c>
      <x:c r="Q1" s="3" t="str">
        <x:v>시점 고정 종합 상태 Replay Audit</x:v>
      </x:c>
      <x:c r="R1" s="3" t="str">
        <x:v>시점 고정 종합 상태 Replay Audit</x:v>
      </x:c>
      <x:c r="S1" s="3" t="str">
        <x:v>시점 고정 종합 상태 Replay Audit</x:v>
      </x:c>
      <x:c r="T1" s="3" t="str">
        <x:v>시점 고정 종합 상태 Replay Audit</x:v>
      </x:c>
      <x:c r="U1" s="3" t="str">
        <x:v>시점 고정 종합 상태 Replay Audit</x:v>
      </x:c>
    </x:row>
    <x:row r="4" ht="32" customHeight="1">
      <x:c r="A4" s="15" t="str">
        <x:v>Analysis ID</x:v>
      </x:c>
      <x:c r="B4" s="16" t="str">
        <x:v>Ticker</x:v>
      </x:c>
      <x:c r="C4" s="16" t="str">
        <x:v>게시 시각</x:v>
      </x:c>
      <x:c r="D4" s="16" t="str">
        <x:v>분석가</x:v>
      </x:c>
      <x:c r="E4" s="16" t="str">
        <x:v>trigger stance</x:v>
      </x:c>
      <x:c r="F4" s="16" t="str">
        <x:v>confidence</x:v>
      </x:c>
      <x:c r="G4" s="16" t="str">
        <x:v>review</x:v>
      </x:c>
      <x:c r="H4" s="16" t="str">
        <x:v>합의 반영</x:v>
      </x:c>
      <x:c r="I4" s="16" t="str">
        <x:v>이전 상태</x:v>
      </x:c>
      <x:c r="J4" s="16" t="str">
        <x:v>강세</x:v>
      </x:c>
      <x:c r="K4" s="16" t="str">
        <x:v>약세</x:v>
      </x:c>
      <x:c r="L4" s="16" t="str">
        <x:v>방향 수</x:v>
      </x:c>
      <x:c r="M4" s="16" t="str">
        <x:v>강세 비중</x:v>
      </x:c>
      <x:c r="N4" s="16" t="str">
        <x:v>약세 비중</x:v>
      </x:c>
      <x:c r="O4" s="16" t="str">
        <x:v>종합 상태</x:v>
      </x:c>
      <x:c r="P4" s="16" t="str">
        <x:v>신호 이벤트</x:v>
      </x:c>
      <x:c r="Q4" s="16" t="str">
        <x:v>Beth_Kindig snapshot</x:v>
      </x:c>
      <x:c r="R4" s="16" t="str">
        <x:v>Brian_Stoffel_ snapshot</x:v>
      </x:c>
      <x:c r="S4" s="16" t="str">
        <x:v>StockMKTNewz snapshot</x:v>
      </x:c>
      <x:c r="T4" s="16" t="str">
        <x:v>StockSavvyShay snapshot</x:v>
      </x:c>
      <x:c r="U4" s="17" t="str">
        <x:v>aleabitoreddit snapshot</x:v>
      </x:c>
    </x:row>
    <x:row r="5">
      <x:c r="A5" s="22" t="n">
        <x:v>798</x:v>
      </x:c>
      <x:c r="B5" s="22" t="str">
        <x:v>COHR</x:v>
      </x:c>
      <x:c r="C5" s="52" t="n">
        <x:v>46182.49475694444</x:v>
      </x:c>
      <x:c r="D5" s="22" t="str">
        <x:v>aleabitoreddit</x:v>
      </x:c>
      <x:c r="E5" s="22" t="str">
        <x:v>bullish</x:v>
      </x:c>
      <x:c r="F5" s="33" t="n">
        <x:v>0.7</x:v>
      </x:c>
      <x:c r="G5" s="22" t="str">
        <x:v>needs_review</x:v>
      </x:c>
      <x:c r="H5" s="22" t="str">
        <x:v>근거만</x:v>
      </x:c>
      <x:c r="I5" s="22" t="str">
        <x:v>insufficient</x:v>
      </x:c>
      <x:c r="J5" s="22" t="n">
        <x:v>0</x:v>
      </x:c>
      <x:c r="K5" s="22" t="n">
        <x:v>0</x:v>
      </x:c>
      <x:c r="L5" s="22" t="n">
        <x:v>0</x:v>
      </x:c>
      <x:c r="M5" s="67" t="n">
        <x:v>0</x:v>
      </x:c>
      <x:c r="N5" s="67" t="n">
        <x:v>0</x:v>
      </x:c>
      <x:c r="O5" s="22" t="str">
        <x:v>insufficient</x:v>
      </x:c>
      <x:c r="P5" s="22" t="str">
        <x:v>none</x:v>
      </x:c>
      <x:c r="Q5" s="22" t="str">
        <x:v>—</x:v>
      </x:c>
      <x:c r="R5" s="22" t="str">
        <x:v>—</x:v>
      </x:c>
      <x:c r="S5" s="22" t="str">
        <x:v>—</x:v>
      </x:c>
      <x:c r="T5" s="22" t="str">
        <x:v>—</x:v>
      </x:c>
      <x:c r="U5" s="22" t="str">
        <x:v>—</x:v>
      </x:c>
    </x:row>
    <x:row r="6">
      <x:c r="A6" s="23" t="n">
        <x:v>616</x:v>
      </x:c>
      <x:c r="B6" s="23" t="str">
        <x:v>COHR</x:v>
      </x:c>
      <x:c r="C6" s="53" t="n">
        <x:v>46191.4015162037</x:v>
      </x:c>
      <x:c r="D6" s="23" t="str">
        <x:v>aleabitoreddit</x:v>
      </x:c>
      <x:c r="E6" s="23" t="str">
        <x:v>bullish</x:v>
      </x:c>
      <x:c r="F6" s="34" t="n">
        <x:v>0.9</x:v>
      </x:c>
      <x:c r="G6" s="23" t="str">
        <x:v>auto</x:v>
      </x:c>
      <x:c r="H6" s="23" t="str">
        <x:v>vote 변경</x:v>
      </x:c>
      <x:c r="I6" s="23" t="str">
        <x:v>insufficient</x:v>
      </x:c>
      <x:c r="J6" s="23" t="n">
        <x:v>1</x:v>
      </x:c>
      <x:c r="K6" s="23" t="n">
        <x:v>0</x:v>
      </x:c>
      <x:c r="L6" s="23" t="n">
        <x:v>1</x:v>
      </x:c>
      <x:c r="M6" s="68" t="n">
        <x:v>1</x:v>
      </x:c>
      <x:c r="N6" s="68" t="n">
        <x:v>0</x:v>
      </x:c>
      <x:c r="O6" s="23" t="str">
        <x:v>insufficient</x:v>
      </x:c>
      <x:c r="P6" s="23" t="str">
        <x:v>none</x:v>
      </x:c>
      <x:c r="Q6" s="23" t="str">
        <x:v>—</x:v>
      </x:c>
      <x:c r="R6" s="23" t="str">
        <x:v>—</x:v>
      </x:c>
      <x:c r="S6" s="23" t="str">
        <x:v>—</x:v>
      </x:c>
      <x:c r="T6" s="23" t="str">
        <x:v>—</x:v>
      </x:c>
      <x:c r="U6" s="23" t="str">
        <x:v>bullish</x:v>
      </x:c>
    </x:row>
    <x:row r="7">
      <x:c r="A7" s="23" t="n">
        <x:v>690</x:v>
      </x:c>
      <x:c r="B7" s="23" t="str">
        <x:v>COHR</x:v>
      </x:c>
      <x:c r="C7" s="53" t="n">
        <x:v>46194.35337962963</x:v>
      </x:c>
      <x:c r="D7" s="23" t="str">
        <x:v>aleabitoreddit</x:v>
      </x:c>
      <x:c r="E7" s="23" t="str">
        <x:v>bullish</x:v>
      </x:c>
      <x:c r="F7" s="34" t="n">
        <x:v>0.7</x:v>
      </x:c>
      <x:c r="G7" s="23" t="str">
        <x:v>needs_review</x:v>
      </x:c>
      <x:c r="H7" s="23" t="str">
        <x:v>근거만</x:v>
      </x:c>
      <x:c r="I7" s="23" t="str">
        <x:v>insufficient</x:v>
      </x:c>
      <x:c r="J7" s="23" t="n">
        <x:v>1</x:v>
      </x:c>
      <x:c r="K7" s="23" t="n">
        <x:v>0</x:v>
      </x:c>
      <x:c r="L7" s="23" t="n">
        <x:v>1</x:v>
      </x:c>
      <x:c r="M7" s="68" t="n">
        <x:v>1</x:v>
      </x:c>
      <x:c r="N7" s="68" t="n">
        <x:v>0</x:v>
      </x:c>
      <x:c r="O7" s="23" t="str">
        <x:v>insufficient</x:v>
      </x:c>
      <x:c r="P7" s="23" t="str">
        <x:v>none</x:v>
      </x:c>
      <x:c r="Q7" s="23" t="str">
        <x:v>—</x:v>
      </x:c>
      <x:c r="R7" s="23" t="str">
        <x:v>—</x:v>
      </x:c>
      <x:c r="S7" s="23" t="str">
        <x:v>—</x:v>
      </x:c>
      <x:c r="T7" s="23" t="str">
        <x:v>—</x:v>
      </x:c>
      <x:c r="U7" s="23" t="str">
        <x:v>bullish</x:v>
      </x:c>
    </x:row>
    <x:row r="8">
      <x:c r="A8" s="23" t="n">
        <x:v>691</x:v>
      </x:c>
      <x:c r="B8" s="23" t="str">
        <x:v>COHR</x:v>
      </x:c>
      <x:c r="C8" s="53" t="n">
        <x:v>46194.36450231481</x:v>
      </x:c>
      <x:c r="D8" s="23" t="str">
        <x:v>aleabitoreddit</x:v>
      </x:c>
      <x:c r="E8" s="23" t="str">
        <x:v>bullish</x:v>
      </x:c>
      <x:c r="F8" s="34" t="n">
        <x:v>0.8</x:v>
      </x:c>
      <x:c r="G8" s="23" t="str">
        <x:v>auto</x:v>
      </x:c>
      <x:c r="H8" s="23" t="str">
        <x:v>vote 변경</x:v>
      </x:c>
      <x:c r="I8" s="23" t="str">
        <x:v>insufficient</x:v>
      </x:c>
      <x:c r="J8" s="23" t="n">
        <x:v>1</x:v>
      </x:c>
      <x:c r="K8" s="23" t="n">
        <x:v>0</x:v>
      </x:c>
      <x:c r="L8" s="23" t="n">
        <x:v>1</x:v>
      </x:c>
      <x:c r="M8" s="68" t="n">
        <x:v>1</x:v>
      </x:c>
      <x:c r="N8" s="68" t="n">
        <x:v>0</x:v>
      </x:c>
      <x:c r="O8" s="23" t="str">
        <x:v>insufficient</x:v>
      </x:c>
      <x:c r="P8" s="23" t="str">
        <x:v>none</x:v>
      </x:c>
      <x:c r="Q8" s="23" t="str">
        <x:v>—</x:v>
      </x:c>
      <x:c r="R8" s="23" t="str">
        <x:v>—</x:v>
      </x:c>
      <x:c r="S8" s="23" t="str">
        <x:v>—</x:v>
      </x:c>
      <x:c r="T8" s="23" t="str">
        <x:v>—</x:v>
      </x:c>
      <x:c r="U8" s="23" t="str">
        <x:v>bullish</x:v>
      </x:c>
    </x:row>
    <x:row r="9">
      <x:c r="A9" s="23" t="n">
        <x:v>706</x:v>
      </x:c>
      <x:c r="B9" s="23" t="str">
        <x:v>COHR</x:v>
      </x:c>
      <x:c r="C9" s="53" t="n">
        <x:v>46196.14292824074</x:v>
      </x:c>
      <x:c r="D9" s="23" t="str">
        <x:v>aleabitoreddit</x:v>
      </x:c>
      <x:c r="E9" s="23" t="str">
        <x:v>neutral</x:v>
      </x:c>
      <x:c r="F9" s="34" t="n">
        <x:v>0.6</x:v>
      </x:c>
      <x:c r="G9" s="23" t="str">
        <x:v>needs_review</x:v>
      </x:c>
      <x:c r="H9" s="23" t="str">
        <x:v>근거만</x:v>
      </x:c>
      <x:c r="I9" s="23" t="str">
        <x:v>insufficient</x:v>
      </x:c>
      <x:c r="J9" s="23" t="n">
        <x:v>1</x:v>
      </x:c>
      <x:c r="K9" s="23" t="n">
        <x:v>0</x:v>
      </x:c>
      <x:c r="L9" s="23" t="n">
        <x:v>1</x:v>
      </x:c>
      <x:c r="M9" s="68" t="n">
        <x:v>1</x:v>
      </x:c>
      <x:c r="N9" s="68" t="n">
        <x:v>0</x:v>
      </x:c>
      <x:c r="O9" s="23" t="str">
        <x:v>insufficient</x:v>
      </x:c>
      <x:c r="P9" s="23" t="str">
        <x:v>none</x:v>
      </x:c>
      <x:c r="Q9" s="23" t="str">
        <x:v>—</x:v>
      </x:c>
      <x:c r="R9" s="23" t="str">
        <x:v>—</x:v>
      </x:c>
      <x:c r="S9" s="23" t="str">
        <x:v>—</x:v>
      </x:c>
      <x:c r="T9" s="23" t="str">
        <x:v>—</x:v>
      </x:c>
      <x:c r="U9" s="23" t="str">
        <x:v>bullish</x:v>
      </x:c>
    </x:row>
    <x:row r="10">
      <x:c r="A10" s="23" t="n">
        <x:v>943</x:v>
      </x:c>
      <x:c r="B10" s="23" t="str">
        <x:v>COHR</x:v>
      </x:c>
      <x:c r="C10" s="53" t="n">
        <x:v>46205.70591435185</x:v>
      </x:c>
      <x:c r="D10" s="23" t="str">
        <x:v>aleabitoreddit</x:v>
      </x:c>
      <x:c r="E10" s="23" t="str">
        <x:v>bullish</x:v>
      </x:c>
      <x:c r="F10" s="34" t="n">
        <x:v>0.8</x:v>
      </x:c>
      <x:c r="G10" s="23" t="str">
        <x:v>auto</x:v>
      </x:c>
      <x:c r="H10" s="23" t="str">
        <x:v>vote 변경</x:v>
      </x:c>
      <x:c r="I10" s="23" t="str">
        <x:v>insufficient</x:v>
      </x:c>
      <x:c r="J10" s="23" t="n">
        <x:v>1</x:v>
      </x:c>
      <x:c r="K10" s="23" t="n">
        <x:v>0</x:v>
      </x:c>
      <x:c r="L10" s="23" t="n">
        <x:v>1</x:v>
      </x:c>
      <x:c r="M10" s="68" t="n">
        <x:v>1</x:v>
      </x:c>
      <x:c r="N10" s="68" t="n">
        <x:v>0</x:v>
      </x:c>
      <x:c r="O10" s="23" t="str">
        <x:v>insufficient</x:v>
      </x:c>
      <x:c r="P10" s="23" t="str">
        <x:v>none</x:v>
      </x:c>
      <x:c r="Q10" s="23" t="str">
        <x:v>—</x:v>
      </x:c>
      <x:c r="R10" s="23" t="str">
        <x:v>—</x:v>
      </x:c>
      <x:c r="S10" s="23" t="str">
        <x:v>—</x:v>
      </x:c>
      <x:c r="T10" s="23" t="str">
        <x:v>—</x:v>
      </x:c>
      <x:c r="U10" s="23" t="str">
        <x:v>bullish</x:v>
      </x:c>
    </x:row>
    <x:row r="11">
      <x:c r="A11" s="23" t="n">
        <x:v>983</x:v>
      </x:c>
      <x:c r="B11" s="23" t="str">
        <x:v>COHR</x:v>
      </x:c>
      <x:c r="C11" s="53" t="n">
        <x:v>46205.89649305555</x:v>
      </x:c>
      <x:c r="D11" s="23" t="str">
        <x:v>aleabitoreddit</x:v>
      </x:c>
      <x:c r="E11" s="23" t="str">
        <x:v>neutral</x:v>
      </x:c>
      <x:c r="F11" s="34" t="n">
        <x:v>0.5</x:v>
      </x:c>
      <x:c r="G11" s="23" t="str">
        <x:v>needs_review</x:v>
      </x:c>
      <x:c r="H11" s="23" t="str">
        <x:v>근거만</x:v>
      </x:c>
      <x:c r="I11" s="23" t="str">
        <x:v>insufficient</x:v>
      </x:c>
      <x:c r="J11" s="23" t="n">
        <x:v>1</x:v>
      </x:c>
      <x:c r="K11" s="23" t="n">
        <x:v>0</x:v>
      </x:c>
      <x:c r="L11" s="23" t="n">
        <x:v>1</x:v>
      </x:c>
      <x:c r="M11" s="68" t="n">
        <x:v>1</x:v>
      </x:c>
      <x:c r="N11" s="68" t="n">
        <x:v>0</x:v>
      </x:c>
      <x:c r="O11" s="23" t="str">
        <x:v>insufficient</x:v>
      </x:c>
      <x:c r="P11" s="23" t="str">
        <x:v>none</x:v>
      </x:c>
      <x:c r="Q11" s="23" t="str">
        <x:v>—</x:v>
      </x:c>
      <x:c r="R11" s="23" t="str">
        <x:v>—</x:v>
      </x:c>
      <x:c r="S11" s="23" t="str">
        <x:v>—</x:v>
      </x:c>
      <x:c r="T11" s="23" t="str">
        <x:v>—</x:v>
      </x:c>
      <x:c r="U11" s="23" t="str">
        <x:v>bullish</x:v>
      </x:c>
    </x:row>
    <x:row r="12">
      <x:c r="A12" s="23" t="n">
        <x:v>74</x:v>
      </x:c>
      <x:c r="B12" s="23" t="str">
        <x:v>COHR</x:v>
      </x:c>
      <x:c r="C12" s="53" t="n">
        <x:v>46216.80608796296</x:v>
      </x:c>
      <x:c r="D12" s="23" t="str">
        <x:v>aleabitoreddit</x:v>
      </x:c>
      <x:c r="E12" s="23" t="str">
        <x:v>bullish</x:v>
      </x:c>
      <x:c r="F12" s="34" t="n">
        <x:v>0.7</x:v>
      </x:c>
      <x:c r="G12" s="23" t="str">
        <x:v>needs_review</x:v>
      </x:c>
      <x:c r="H12" s="23" t="str">
        <x:v>근거만</x:v>
      </x:c>
      <x:c r="I12" s="23" t="str">
        <x:v>insufficient</x:v>
      </x:c>
      <x:c r="J12" s="23" t="n">
        <x:v>1</x:v>
      </x:c>
      <x:c r="K12" s="23" t="n">
        <x:v>0</x:v>
      </x:c>
      <x:c r="L12" s="23" t="n">
        <x:v>1</x:v>
      </x:c>
      <x:c r="M12" s="68" t="n">
        <x:v>1</x:v>
      </x:c>
      <x:c r="N12" s="68" t="n">
        <x:v>0</x:v>
      </x:c>
      <x:c r="O12" s="23" t="str">
        <x:v>insufficient</x:v>
      </x:c>
      <x:c r="P12" s="23" t="str">
        <x:v>none</x:v>
      </x:c>
      <x:c r="Q12" s="23" t="str">
        <x:v>—</x:v>
      </x:c>
      <x:c r="R12" s="23" t="str">
        <x:v>—</x:v>
      </x:c>
      <x:c r="S12" s="23" t="str">
        <x:v>—</x:v>
      </x:c>
      <x:c r="T12" s="23" t="str">
        <x:v>—</x:v>
      </x:c>
      <x:c r="U12" s="23" t="str">
        <x:v>bullish</x:v>
      </x:c>
    </x:row>
    <x:row r="13">
      <x:c r="A13" s="23" t="n">
        <x:v>83</x:v>
      </x:c>
      <x:c r="B13" s="23" t="str">
        <x:v>COHR</x:v>
      </x:c>
      <x:c r="C13" s="53" t="n">
        <x:v>46216.846504629626</x:v>
      </x:c>
      <x:c r="D13" s="23" t="str">
        <x:v>aleabitoreddit</x:v>
      </x:c>
      <x:c r="E13" s="23" t="str">
        <x:v>bullish</x:v>
      </x:c>
      <x:c r="F13" s="34" t="n">
        <x:v>0.7</x:v>
      </x:c>
      <x:c r="G13" s="23" t="str">
        <x:v>needs_review</x:v>
      </x:c>
      <x:c r="H13" s="23" t="str">
        <x:v>근거만</x:v>
      </x:c>
      <x:c r="I13" s="23" t="str">
        <x:v>insufficient</x:v>
      </x:c>
      <x:c r="J13" s="23" t="n">
        <x:v>1</x:v>
      </x:c>
      <x:c r="K13" s="23" t="n">
        <x:v>0</x:v>
      </x:c>
      <x:c r="L13" s="23" t="n">
        <x:v>1</x:v>
      </x:c>
      <x:c r="M13" s="68" t="n">
        <x:v>1</x:v>
      </x:c>
      <x:c r="N13" s="68" t="n">
        <x:v>0</x:v>
      </x:c>
      <x:c r="O13" s="23" t="str">
        <x:v>insufficient</x:v>
      </x:c>
      <x:c r="P13" s="23" t="str">
        <x:v>none</x:v>
      </x:c>
      <x:c r="Q13" s="23" t="str">
        <x:v>—</x:v>
      </x:c>
      <x:c r="R13" s="23" t="str">
        <x:v>—</x:v>
      </x:c>
      <x:c r="S13" s="23" t="str">
        <x:v>—</x:v>
      </x:c>
      <x:c r="T13" s="23" t="str">
        <x:v>—</x:v>
      </x:c>
      <x:c r="U13" s="23" t="str">
        <x:v>bullish</x:v>
      </x:c>
    </x:row>
    <x:row r="14">
      <x:c r="A14" s="23" t="n">
        <x:v>85</x:v>
      </x:c>
      <x:c r="B14" s="23" t="str">
        <x:v>COHR</x:v>
      </x:c>
      <x:c r="C14" s="53" t="n">
        <x:v>46216.970671296294</x:v>
      </x:c>
      <x:c r="D14" s="23" t="str">
        <x:v>aleabitoreddit</x:v>
      </x:c>
      <x:c r="E14" s="23" t="str">
        <x:v>bullish</x:v>
      </x:c>
      <x:c r="F14" s="34" t="n">
        <x:v>0.8</x:v>
      </x:c>
      <x:c r="G14" s="23" t="str">
        <x:v>auto</x:v>
      </x:c>
      <x:c r="H14" s="23" t="str">
        <x:v>vote 변경</x:v>
      </x:c>
      <x:c r="I14" s="23" t="str">
        <x:v>insufficient</x:v>
      </x:c>
      <x:c r="J14" s="23" t="n">
        <x:v>1</x:v>
      </x:c>
      <x:c r="K14" s="23" t="n">
        <x:v>0</x:v>
      </x:c>
      <x:c r="L14" s="23" t="n">
        <x:v>1</x:v>
      </x:c>
      <x:c r="M14" s="68" t="n">
        <x:v>1</x:v>
      </x:c>
      <x:c r="N14" s="68" t="n">
        <x:v>0</x:v>
      </x:c>
      <x:c r="O14" s="23" t="str">
        <x:v>insufficient</x:v>
      </x:c>
      <x:c r="P14" s="23" t="str">
        <x:v>none</x:v>
      </x:c>
      <x:c r="Q14" s="23" t="str">
        <x:v>—</x:v>
      </x:c>
      <x:c r="R14" s="23" t="str">
        <x:v>—</x:v>
      </x:c>
      <x:c r="S14" s="23" t="str">
        <x:v>—</x:v>
      </x:c>
      <x:c r="T14" s="23" t="str">
        <x:v>—</x:v>
      </x:c>
      <x:c r="U14" s="23" t="str">
        <x:v>bullish</x:v>
      </x:c>
    </x:row>
    <x:row r="15">
      <x:c r="A15" s="23" t="n">
        <x:v>98</x:v>
      </x:c>
      <x:c r="B15" s="23" t="str">
        <x:v>COHR</x:v>
      </x:c>
      <x:c r="C15" s="53" t="n">
        <x:v>46217.621724537035</x:v>
      </x:c>
      <x:c r="D15" s="23" t="str">
        <x:v>aleabitoreddit</x:v>
      </x:c>
      <x:c r="E15" s="23" t="str">
        <x:v>neutral</x:v>
      </x:c>
      <x:c r="F15" s="34" t="n">
        <x:v>0.5</x:v>
      </x:c>
      <x:c r="G15" s="23" t="str">
        <x:v>needs_review</x:v>
      </x:c>
      <x:c r="H15" s="23" t="str">
        <x:v>근거만</x:v>
      </x:c>
      <x:c r="I15" s="23" t="str">
        <x:v>insufficient</x:v>
      </x:c>
      <x:c r="J15" s="23" t="n">
        <x:v>1</x:v>
      </x:c>
      <x:c r="K15" s="23" t="n">
        <x:v>0</x:v>
      </x:c>
      <x:c r="L15" s="23" t="n">
        <x:v>1</x:v>
      </x:c>
      <x:c r="M15" s="68" t="n">
        <x:v>1</x:v>
      </x:c>
      <x:c r="N15" s="68" t="n">
        <x:v>0</x:v>
      </x:c>
      <x:c r="O15" s="23" t="str">
        <x:v>insufficient</x:v>
      </x:c>
      <x:c r="P15" s="23" t="str">
        <x:v>none</x:v>
      </x:c>
      <x:c r="Q15" s="23" t="str">
        <x:v>—</x:v>
      </x:c>
      <x:c r="R15" s="23" t="str">
        <x:v>—</x:v>
      </x:c>
      <x:c r="S15" s="23" t="str">
        <x:v>—</x:v>
      </x:c>
      <x:c r="T15" s="23" t="str">
        <x:v>—</x:v>
      </x:c>
      <x:c r="U15" s="23" t="str">
        <x:v>bullish</x:v>
      </x:c>
    </x:row>
    <x:row r="16">
      <x:c r="A16" s="23" t="n">
        <x:v>107</x:v>
      </x:c>
      <x:c r="B16" s="23" t="str">
        <x:v>COHR</x:v>
      </x:c>
      <x:c r="C16" s="53" t="n">
        <x:v>46218.63043981481</x:v>
      </x:c>
      <x:c r="D16" s="23" t="str">
        <x:v>aleabitoreddit</x:v>
      </x:c>
      <x:c r="E16" s="23" t="str">
        <x:v>bullish</x:v>
      </x:c>
      <x:c r="F16" s="34" t="n">
        <x:v>0.9</x:v>
      </x:c>
      <x:c r="G16" s="23" t="str">
        <x:v>auto</x:v>
      </x:c>
      <x:c r="H16" s="23" t="str">
        <x:v>vote 변경</x:v>
      </x:c>
      <x:c r="I16" s="23" t="str">
        <x:v>insufficient</x:v>
      </x:c>
      <x:c r="J16" s="23" t="n">
        <x:v>1</x:v>
      </x:c>
      <x:c r="K16" s="23" t="n">
        <x:v>0</x:v>
      </x:c>
      <x:c r="L16" s="23" t="n">
        <x:v>1</x:v>
      </x:c>
      <x:c r="M16" s="68" t="n">
        <x:v>1</x:v>
      </x:c>
      <x:c r="N16" s="68" t="n">
        <x:v>0</x:v>
      </x:c>
      <x:c r="O16" s="23" t="str">
        <x:v>insufficient</x:v>
      </x:c>
      <x:c r="P16" s="23" t="str">
        <x:v>none</x:v>
      </x:c>
      <x:c r="Q16" s="23" t="str">
        <x:v>—</x:v>
      </x:c>
      <x:c r="R16" s="23" t="str">
        <x:v>—</x:v>
      </x:c>
      <x:c r="S16" s="23" t="str">
        <x:v>—</x:v>
      </x:c>
      <x:c r="T16" s="23" t="str">
        <x:v>—</x:v>
      </x:c>
      <x:c r="U16" s="23" t="str">
        <x:v>bullish</x:v>
      </x:c>
    </x:row>
    <x:row r="17">
      <x:c r="A17" s="23" t="n">
        <x:v>1268</x:v>
      </x:c>
      <x:c r="B17" s="23" t="str">
        <x:v>COHR</x:v>
      </x:c>
      <x:c r="C17" s="53" t="n">
        <x:v>46222.59247685185</x:v>
      </x:c>
      <x:c r="D17" s="23" t="str">
        <x:v>StockSavvyShay</x:v>
      </x:c>
      <x:c r="E17" s="23" t="str">
        <x:v>neutral</x:v>
      </x:c>
      <x:c r="F17" s="34" t="n">
        <x:v>0.5</x:v>
      </x:c>
      <x:c r="G17" s="23" t="str">
        <x:v>needs_review</x:v>
      </x:c>
      <x:c r="H17" s="23" t="str">
        <x:v>근거만</x:v>
      </x:c>
      <x:c r="I17" s="23" t="str">
        <x:v>insufficient</x:v>
      </x:c>
      <x:c r="J17" s="23" t="n">
        <x:v>1</x:v>
      </x:c>
      <x:c r="K17" s="23" t="n">
        <x:v>0</x:v>
      </x:c>
      <x:c r="L17" s="23" t="n">
        <x:v>1</x:v>
      </x:c>
      <x:c r="M17" s="68" t="n">
        <x:v>1</x:v>
      </x:c>
      <x:c r="N17" s="68" t="n">
        <x:v>0</x:v>
      </x:c>
      <x:c r="O17" s="23" t="str">
        <x:v>insufficient</x:v>
      </x:c>
      <x:c r="P17" s="23" t="str">
        <x:v>none</x:v>
      </x:c>
      <x:c r="Q17" s="23" t="str">
        <x:v>—</x:v>
      </x:c>
      <x:c r="R17" s="23" t="str">
        <x:v>—</x:v>
      </x:c>
      <x:c r="S17" s="23" t="str">
        <x:v>—</x:v>
      </x:c>
      <x:c r="T17" s="23" t="str">
        <x:v>—</x:v>
      </x:c>
      <x:c r="U17" s="23" t="str">
        <x:v>bullish</x:v>
      </x:c>
    </x:row>
    <x:row r="18">
      <x:c r="A18" s="23" t="n">
        <x:v>1710</x:v>
      </x:c>
      <x:c r="B18" s="23" t="str">
        <x:v>COHR</x:v>
      </x:c>
      <x:c r="C18" s="53" t="n">
        <x:v>46226.20112268518</x:v>
      </x:c>
      <x:c r="D18" s="23" t="str">
        <x:v>aleabitoreddit</x:v>
      </x:c>
      <x:c r="E18" s="23" t="str">
        <x:v>bullish</x:v>
      </x:c>
      <x:c r="F18" s="34" t="n">
        <x:v>0.6</x:v>
      </x:c>
      <x:c r="G18" s="23" t="str">
        <x:v>needs_review</x:v>
      </x:c>
      <x:c r="H18" s="23" t="str">
        <x:v>근거만</x:v>
      </x:c>
      <x:c r="I18" s="23" t="str">
        <x:v>insufficient</x:v>
      </x:c>
      <x:c r="J18" s="23" t="n">
        <x:v>1</x:v>
      </x:c>
      <x:c r="K18" s="23" t="n">
        <x:v>0</x:v>
      </x:c>
      <x:c r="L18" s="23" t="n">
        <x:v>1</x:v>
      </x:c>
      <x:c r="M18" s="68" t="n">
        <x:v>1</x:v>
      </x:c>
      <x:c r="N18" s="68" t="n">
        <x:v>0</x:v>
      </x:c>
      <x:c r="O18" s="23" t="str">
        <x:v>insufficient</x:v>
      </x:c>
      <x:c r="P18" s="23" t="str">
        <x:v>none</x:v>
      </x:c>
      <x:c r="Q18" s="23" t="str">
        <x:v>—</x:v>
      </x:c>
      <x:c r="R18" s="23" t="str">
        <x:v>—</x:v>
      </x:c>
      <x:c r="S18" s="23" t="str">
        <x:v>—</x:v>
      </x:c>
      <x:c r="T18" s="23" t="str">
        <x:v>—</x:v>
      </x:c>
      <x:c r="U18" s="23" t="str">
        <x:v>bullish</x:v>
      </x:c>
    </x:row>
    <x:row r="19">
      <x:c r="A19" s="23" t="n">
        <x:v>1821</x:v>
      </x:c>
      <x:c r="B19" s="23" t="str">
        <x:v>COHR</x:v>
      </x:c>
      <x:c r="C19" s="53" t="n">
        <x:v>46227.03760416667</x:v>
      </x:c>
      <x:c r="D19" s="23" t="str">
        <x:v>aleabitoreddit</x:v>
      </x:c>
      <x:c r="E19" s="23" t="str">
        <x:v>neutral</x:v>
      </x:c>
      <x:c r="F19" s="34" t="n">
        <x:v>0.7</x:v>
      </x:c>
      <x:c r="G19" s="23" t="str">
        <x:v>needs_review</x:v>
      </x:c>
      <x:c r="H19" s="23" t="str">
        <x:v>근거만</x:v>
      </x:c>
      <x:c r="I19" s="23" t="str">
        <x:v>insufficient</x:v>
      </x:c>
      <x:c r="J19" s="23" t="n">
        <x:v>1</x:v>
      </x:c>
      <x:c r="K19" s="23" t="n">
        <x:v>0</x:v>
      </x:c>
      <x:c r="L19" s="23" t="n">
        <x:v>1</x:v>
      </x:c>
      <x:c r="M19" s="68" t="n">
        <x:v>1</x:v>
      </x:c>
      <x:c r="N19" s="68" t="n">
        <x:v>0</x:v>
      </x:c>
      <x:c r="O19" s="23" t="str">
        <x:v>insufficient</x:v>
      </x:c>
      <x:c r="P19" s="23" t="str">
        <x:v>none</x:v>
      </x:c>
      <x:c r="Q19" s="23" t="str">
        <x:v>—</x:v>
      </x:c>
      <x:c r="R19" s="23" t="str">
        <x:v>—</x:v>
      </x:c>
      <x:c r="S19" s="23" t="str">
        <x:v>—</x:v>
      </x:c>
      <x:c r="T19" s="23" t="str">
        <x:v>—</x:v>
      </x:c>
      <x:c r="U19" s="23" t="str">
        <x:v>bullish</x:v>
      </x:c>
    </x:row>
    <x:row r="20">
      <x:c r="A20" s="23" t="n">
        <x:v>2056</x:v>
      </x:c>
      <x:c r="B20" s="23" t="str">
        <x:v>COHR</x:v>
      </x:c>
      <x:c r="C20" s="53" t="n">
        <x:v>46229.584965277776</x:v>
      </x:c>
      <x:c r="D20" s="23" t="str">
        <x:v>StockSavvyShay</x:v>
      </x:c>
      <x:c r="E20" s="23" t="str">
        <x:v>bullish</x:v>
      </x:c>
      <x:c r="F20" s="34" t="n">
        <x:v>0.8</x:v>
      </x:c>
      <x:c r="G20" s="23" t="str">
        <x:v>auto</x:v>
      </x:c>
      <x:c r="H20" s="23" t="str">
        <x:v>vote 변경</x:v>
      </x:c>
      <x:c r="I20" s="23" t="str">
        <x:v>insufficient</x:v>
      </x:c>
      <x:c r="J20" s="23" t="n">
        <x:v>2</x:v>
      </x:c>
      <x:c r="K20" s="23" t="n">
        <x:v>0</x:v>
      </x:c>
      <x:c r="L20" s="23" t="n">
        <x:v>2</x:v>
      </x:c>
      <x:c r="M20" s="68" t="n">
        <x:v>1</x:v>
      </x:c>
      <x:c r="N20" s="68" t="n">
        <x:v>0</x:v>
      </x:c>
      <x:c r="O20" s="23" t="str">
        <x:v>positive</x:v>
      </x:c>
      <x:c r="P20" s="23" t="str">
        <x:v>entry</x:v>
      </x:c>
      <x:c r="Q20" s="23" t="str">
        <x:v>—</x:v>
      </x:c>
      <x:c r="R20" s="23" t="str">
        <x:v>—</x:v>
      </x:c>
      <x:c r="S20" s="23" t="str">
        <x:v>—</x:v>
      </x:c>
      <x:c r="T20" s="23" t="str">
        <x:v>bullish</x:v>
      </x:c>
      <x:c r="U20" s="23" t="str">
        <x:v>bullish</x:v>
      </x:c>
    </x:row>
    <x:row r="21">
      <x:c r="A21" s="23" t="n">
        <x:v>2246</x:v>
      </x:c>
      <x:c r="B21" s="23" t="str">
        <x:v>COHR</x:v>
      </x:c>
      <x:c r="C21" s="53" t="n">
        <x:v>46231.78460648148</x:v>
      </x:c>
      <x:c r="D21" s="23" t="str">
        <x:v>StockSavvyShay</x:v>
      </x:c>
      <x:c r="E21" s="23" t="str">
        <x:v>neutral</x:v>
      </x:c>
      <x:c r="F21" s="34" t="n">
        <x:v>0</x:v>
      </x:c>
      <x:c r="G21" s="23" t="str">
        <x:v>needs_review</x:v>
      </x:c>
      <x:c r="H21" s="23" t="str">
        <x:v>근거만</x:v>
      </x:c>
      <x:c r="I21" s="23" t="str">
        <x:v>positive</x:v>
      </x:c>
      <x:c r="J21" s="23" t="n">
        <x:v>2</x:v>
      </x:c>
      <x:c r="K21" s="23" t="n">
        <x:v>0</x:v>
      </x:c>
      <x:c r="L21" s="23" t="n">
        <x:v>2</x:v>
      </x:c>
      <x:c r="M21" s="68" t="n">
        <x:v>1</x:v>
      </x:c>
      <x:c r="N21" s="68" t="n">
        <x:v>0</x:v>
      </x:c>
      <x:c r="O21" s="23" t="str">
        <x:v>positive</x:v>
      </x:c>
      <x:c r="P21" s="23" t="str">
        <x:v>none</x:v>
      </x:c>
      <x:c r="Q21" s="23" t="str">
        <x:v>—</x:v>
      </x:c>
      <x:c r="R21" s="23" t="str">
        <x:v>—</x:v>
      </x:c>
      <x:c r="S21" s="23" t="str">
        <x:v>—</x:v>
      </x:c>
      <x:c r="T21" s="23" t="str">
        <x:v>bullish</x:v>
      </x:c>
      <x:c r="U21" s="23" t="str">
        <x:v>bullish</x:v>
      </x:c>
    </x:row>
    <x:row r="22">
      <x:c r="A22" s="23" t="n">
        <x:v>2448</x:v>
      </x:c>
      <x:c r="B22" s="23" t="str">
        <x:v>COHR</x:v>
      </x:c>
      <x:c r="C22" s="53" t="n">
        <x:v>46232.90335648148</x:v>
      </x:c>
      <x:c r="D22" s="23" t="str">
        <x:v>aleabitoreddit</x:v>
      </x:c>
      <x:c r="E22" s="23" t="str">
        <x:v>neutral</x:v>
      </x:c>
      <x:c r="F22" s="34" t="n">
        <x:v>0.5</x:v>
      </x:c>
      <x:c r="G22" s="23" t="str">
        <x:v>needs_review</x:v>
      </x:c>
      <x:c r="H22" s="23" t="str">
        <x:v>근거만</x:v>
      </x:c>
      <x:c r="I22" s="23" t="str">
        <x:v>positive</x:v>
      </x:c>
      <x:c r="J22" s="23" t="n">
        <x:v>2</x:v>
      </x:c>
      <x:c r="K22" s="23" t="n">
        <x:v>0</x:v>
      </x:c>
      <x:c r="L22" s="23" t="n">
        <x:v>2</x:v>
      </x:c>
      <x:c r="M22" s="68" t="n">
        <x:v>1</x:v>
      </x:c>
      <x:c r="N22" s="68" t="n">
        <x:v>0</x:v>
      </x:c>
      <x:c r="O22" s="23" t="str">
        <x:v>positive</x:v>
      </x:c>
      <x:c r="P22" s="23" t="str">
        <x:v>none</x:v>
      </x:c>
      <x:c r="Q22" s="23" t="str">
        <x:v>—</x:v>
      </x:c>
      <x:c r="R22" s="23" t="str">
        <x:v>—</x:v>
      </x:c>
      <x:c r="S22" s="23" t="str">
        <x:v>—</x:v>
      </x:c>
      <x:c r="T22" s="23" t="str">
        <x:v>bullish</x:v>
      </x:c>
      <x:c r="U22" s="23" t="str">
        <x:v>bullish</x:v>
      </x:c>
    </x:row>
    <x:row r="23">
      <x:c r="A23" s="23" t="n">
        <x:v>2652</x:v>
      </x:c>
      <x:c r="B23" s="23" t="str">
        <x:v>COHR</x:v>
      </x:c>
      <x:c r="C23" s="53" t="n">
        <x:v>46234.30165509259</x:v>
      </x:c>
      <x:c r="D23" s="23" t="str">
        <x:v>aleabitoreddit</x:v>
      </x:c>
      <x:c r="E23" s="23" t="str">
        <x:v>neutral</x:v>
      </x:c>
      <x:c r="F23" s="34" t="n">
        <x:v>0.5</x:v>
      </x:c>
      <x:c r="G23" s="23" t="str">
        <x:v>needs_review</x:v>
      </x:c>
      <x:c r="H23" s="23" t="str">
        <x:v>근거만</x:v>
      </x:c>
      <x:c r="I23" s="23" t="str">
        <x:v>positive</x:v>
      </x:c>
      <x:c r="J23" s="23" t="n">
        <x:v>2</x:v>
      </x:c>
      <x:c r="K23" s="23" t="n">
        <x:v>0</x:v>
      </x:c>
      <x:c r="L23" s="23" t="n">
        <x:v>2</x:v>
      </x:c>
      <x:c r="M23" s="68" t="n">
        <x:v>1</x:v>
      </x:c>
      <x:c r="N23" s="68" t="n">
        <x:v>0</x:v>
      </x:c>
      <x:c r="O23" s="23" t="str">
        <x:v>positive</x:v>
      </x:c>
      <x:c r="P23" s="23" t="str">
        <x:v>none</x:v>
      </x:c>
      <x:c r="Q23" s="23" t="str">
        <x:v>—</x:v>
      </x:c>
      <x:c r="R23" s="23" t="str">
        <x:v>—</x:v>
      </x:c>
      <x:c r="S23" s="23" t="str">
        <x:v>—</x:v>
      </x:c>
      <x:c r="T23" s="23" t="str">
        <x:v>bullish</x:v>
      </x:c>
      <x:c r="U23" s="23" t="str">
        <x:v>bullish</x:v>
      </x:c>
    </x:row>
    <x:row r="24">
      <x:c r="A24" s="23" t="n">
        <x:v>1155</x:v>
      </x:c>
      <x:c r="B24" s="23" t="str">
        <x:v>AAOI</x:v>
      </x:c>
      <x:c r="C24" s="53" t="n">
        <x:v>46172.566087962965</x:v>
      </x:c>
      <x:c r="D24" s="23" t="str">
        <x:v>StockSavvyShay</x:v>
      </x:c>
      <x:c r="E24" s="23" t="str">
        <x:v>bullish</x:v>
      </x:c>
      <x:c r="F24" s="34" t="n">
        <x:v>0.8</x:v>
      </x:c>
      <x:c r="G24" s="23" t="str">
        <x:v>auto</x:v>
      </x:c>
      <x:c r="H24" s="23" t="str">
        <x:v>vote 변경</x:v>
      </x:c>
      <x:c r="I24" s="23" t="str">
        <x:v>insufficient</x:v>
      </x:c>
      <x:c r="J24" s="23" t="n">
        <x:v>1</x:v>
      </x:c>
      <x:c r="K24" s="23" t="n">
        <x:v>0</x:v>
      </x:c>
      <x:c r="L24" s="23" t="n">
        <x:v>1</x:v>
      </x:c>
      <x:c r="M24" s="68" t="n">
        <x:v>1</x:v>
      </x:c>
      <x:c r="N24" s="68" t="n">
        <x:v>0</x:v>
      </x:c>
      <x:c r="O24" s="23" t="str">
        <x:v>insufficient</x:v>
      </x:c>
      <x:c r="P24" s="23" t="str">
        <x:v>none</x:v>
      </x:c>
      <x:c r="Q24" s="23" t="str">
        <x:v>—</x:v>
      </x:c>
      <x:c r="R24" s="23" t="str">
        <x:v>—</x:v>
      </x:c>
      <x:c r="S24" s="23" t="str">
        <x:v>—</x:v>
      </x:c>
      <x:c r="T24" s="23" t="str">
        <x:v>bullish</x:v>
      </x:c>
      <x:c r="U24" s="23" t="str">
        <x:v>—</x:v>
      </x:c>
    </x:row>
    <x:row r="25">
      <x:c r="A25" s="23" t="n">
        <x:v>250</x:v>
      </x:c>
      <x:c r="B25" s="23" t="str">
        <x:v>AAOI</x:v>
      </x:c>
      <x:c r="C25" s="53" t="n">
        <x:v>46178.03256944445</x:v>
      </x:c>
      <x:c r="D25" s="23" t="str">
        <x:v>aleabitoreddit</x:v>
      </x:c>
      <x:c r="E25" s="23" t="str">
        <x:v>bullish</x:v>
      </x:c>
      <x:c r="F25" s="34" t="n">
        <x:v>1</x:v>
      </x:c>
      <x:c r="G25" s="23" t="str">
        <x:v>auto</x:v>
      </x:c>
      <x:c r="H25" s="23" t="str">
        <x:v>vote 변경</x:v>
      </x:c>
      <x:c r="I25" s="23" t="str">
        <x:v>insufficient</x:v>
      </x:c>
      <x:c r="J25" s="23" t="n">
        <x:v>2</x:v>
      </x:c>
      <x:c r="K25" s="23" t="n">
        <x:v>0</x:v>
      </x:c>
      <x:c r="L25" s="23" t="n">
        <x:v>2</x:v>
      </x:c>
      <x:c r="M25" s="68" t="n">
        <x:v>1</x:v>
      </x:c>
      <x:c r="N25" s="68" t="n">
        <x:v>0</x:v>
      </x:c>
      <x:c r="O25" s="23" t="str">
        <x:v>positive</x:v>
      </x:c>
      <x:c r="P25" s="23" t="str">
        <x:v>entry</x:v>
      </x:c>
      <x:c r="Q25" s="23" t="str">
        <x:v>—</x:v>
      </x:c>
      <x:c r="R25" s="23" t="str">
        <x:v>—</x:v>
      </x:c>
      <x:c r="S25" s="23" t="str">
        <x:v>—</x:v>
      </x:c>
      <x:c r="T25" s="23" t="str">
        <x:v>bullish</x:v>
      </x:c>
      <x:c r="U25" s="23" t="str">
        <x:v>bullish</x:v>
      </x:c>
    </x:row>
    <x:row r="26">
      <x:c r="A26" s="23" t="n">
        <x:v>272</x:v>
      </x:c>
      <x:c r="B26" s="23" t="str">
        <x:v>AAOI</x:v>
      </x:c>
      <x:c r="C26" s="53" t="n">
        <x:v>46178.396365740744</x:v>
      </x:c>
      <x:c r="D26" s="23" t="str">
        <x:v>aleabitoreddit</x:v>
      </x:c>
      <x:c r="E26" s="23" t="str">
        <x:v>bullish</x:v>
      </x:c>
      <x:c r="F26" s="34" t="n">
        <x:v>0.9</x:v>
      </x:c>
      <x:c r="G26" s="23" t="str">
        <x:v>auto</x:v>
      </x:c>
      <x:c r="H26" s="23" t="str">
        <x:v>vote 변경</x:v>
      </x:c>
      <x:c r="I26" s="23" t="str">
        <x:v>positive</x:v>
      </x:c>
      <x:c r="J26" s="23" t="n">
        <x:v>2</x:v>
      </x:c>
      <x:c r="K26" s="23" t="n">
        <x:v>0</x:v>
      </x:c>
      <x:c r="L26" s="23" t="n">
        <x:v>2</x:v>
      </x:c>
      <x:c r="M26" s="68" t="n">
        <x:v>1</x:v>
      </x:c>
      <x:c r="N26" s="68" t="n">
        <x:v>0</x:v>
      </x:c>
      <x:c r="O26" s="23" t="str">
        <x:v>positive</x:v>
      </x:c>
      <x:c r="P26" s="23" t="str">
        <x:v>none</x:v>
      </x:c>
      <x:c r="Q26" s="23" t="str">
        <x:v>—</x:v>
      </x:c>
      <x:c r="R26" s="23" t="str">
        <x:v>—</x:v>
      </x:c>
      <x:c r="S26" s="23" t="str">
        <x:v>—</x:v>
      </x:c>
      <x:c r="T26" s="23" t="str">
        <x:v>bullish</x:v>
      </x:c>
      <x:c r="U26" s="23" t="str">
        <x:v>bullish</x:v>
      </x:c>
    </x:row>
    <x:row r="27">
      <x:c r="A27" s="23" t="n">
        <x:v>281</x:v>
      </x:c>
      <x:c r="B27" s="23" t="str">
        <x:v>AAOI</x:v>
      </x:c>
      <x:c r="C27" s="53" t="n">
        <x:v>46178.60607638889</x:v>
      </x:c>
      <x:c r="D27" s="23" t="str">
        <x:v>aleabitoreddit</x:v>
      </x:c>
      <x:c r="E27" s="23" t="str">
        <x:v>bullish</x:v>
      </x:c>
      <x:c r="F27" s="34" t="n">
        <x:v>0.7</x:v>
      </x:c>
      <x:c r="G27" s="23" t="str">
        <x:v>needs_review</x:v>
      </x:c>
      <x:c r="H27" s="23" t="str">
        <x:v>근거만</x:v>
      </x:c>
      <x:c r="I27" s="23" t="str">
        <x:v>positive</x:v>
      </x:c>
      <x:c r="J27" s="23" t="n">
        <x:v>2</x:v>
      </x:c>
      <x:c r="K27" s="23" t="n">
        <x:v>0</x:v>
      </x:c>
      <x:c r="L27" s="23" t="n">
        <x:v>2</x:v>
      </x:c>
      <x:c r="M27" s="68" t="n">
        <x:v>1</x:v>
      </x:c>
      <x:c r="N27" s="68" t="n">
        <x:v>0</x:v>
      </x:c>
      <x:c r="O27" s="23" t="str">
        <x:v>positive</x:v>
      </x:c>
      <x:c r="P27" s="23" t="str">
        <x:v>none</x:v>
      </x:c>
      <x:c r="Q27" s="23" t="str">
        <x:v>—</x:v>
      </x:c>
      <x:c r="R27" s="23" t="str">
        <x:v>—</x:v>
      </x:c>
      <x:c r="S27" s="23" t="str">
        <x:v>—</x:v>
      </x:c>
      <x:c r="T27" s="23" t="str">
        <x:v>bullish</x:v>
      </x:c>
      <x:c r="U27" s="23" t="str">
        <x:v>bullish</x:v>
      </x:c>
    </x:row>
    <x:row r="28">
      <x:c r="A28" s="23" t="n">
        <x:v>638</x:v>
      </x:c>
      <x:c r="B28" s="23" t="str">
        <x:v>AAOI</x:v>
      </x:c>
      <x:c r="C28" s="53" t="n">
        <x:v>46178.60909722222</x:v>
      </x:c>
      <x:c r="D28" s="23" t="str">
        <x:v>aleabitoreddit</x:v>
      </x:c>
      <x:c r="E28" s="23" t="str">
        <x:v>bullish</x:v>
      </x:c>
      <x:c r="F28" s="34" t="n">
        <x:v>0.8</x:v>
      </x:c>
      <x:c r="G28" s="23" t="str">
        <x:v>needs_review</x:v>
      </x:c>
      <x:c r="H28" s="23" t="str">
        <x:v>근거만</x:v>
      </x:c>
      <x:c r="I28" s="23" t="str">
        <x:v>positive</x:v>
      </x:c>
      <x:c r="J28" s="23" t="n">
        <x:v>2</x:v>
      </x:c>
      <x:c r="K28" s="23" t="n">
        <x:v>0</x:v>
      </x:c>
      <x:c r="L28" s="23" t="n">
        <x:v>2</x:v>
      </x:c>
      <x:c r="M28" s="68" t="n">
        <x:v>1</x:v>
      </x:c>
      <x:c r="N28" s="68" t="n">
        <x:v>0</x:v>
      </x:c>
      <x:c r="O28" s="23" t="str">
        <x:v>positive</x:v>
      </x:c>
      <x:c r="P28" s="23" t="str">
        <x:v>none</x:v>
      </x:c>
      <x:c r="Q28" s="23" t="str">
        <x:v>—</x:v>
      </x:c>
      <x:c r="R28" s="23" t="str">
        <x:v>—</x:v>
      </x:c>
      <x:c r="S28" s="23" t="str">
        <x:v>—</x:v>
      </x:c>
      <x:c r="T28" s="23" t="str">
        <x:v>bullish</x:v>
      </x:c>
      <x:c r="U28" s="23" t="str">
        <x:v>bullish</x:v>
      </x:c>
    </x:row>
    <x:row r="29">
      <x:c r="A29" s="23" t="n">
        <x:v>292</x:v>
      </x:c>
      <x:c r="B29" s="23" t="str">
        <x:v>AAOI</x:v>
      </x:c>
      <x:c r="C29" s="53" t="n">
        <x:v>46178.66594907407</x:v>
      </x:c>
      <x:c r="D29" s="23" t="str">
        <x:v>aleabitoreddit</x:v>
      </x:c>
      <x:c r="E29" s="23" t="str">
        <x:v>bullish</x:v>
      </x:c>
      <x:c r="F29" s="34" t="n">
        <x:v>0.8</x:v>
      </x:c>
      <x:c r="G29" s="23" t="str">
        <x:v>auto</x:v>
      </x:c>
      <x:c r="H29" s="23" t="str">
        <x:v>vote 변경</x:v>
      </x:c>
      <x:c r="I29" s="23" t="str">
        <x:v>positive</x:v>
      </x:c>
      <x:c r="J29" s="23" t="n">
        <x:v>2</x:v>
      </x:c>
      <x:c r="K29" s="23" t="n">
        <x:v>0</x:v>
      </x:c>
      <x:c r="L29" s="23" t="n">
        <x:v>2</x:v>
      </x:c>
      <x:c r="M29" s="68" t="n">
        <x:v>1</x:v>
      </x:c>
      <x:c r="N29" s="68" t="n">
        <x:v>0</x:v>
      </x:c>
      <x:c r="O29" s="23" t="str">
        <x:v>positive</x:v>
      </x:c>
      <x:c r="P29" s="23" t="str">
        <x:v>none</x:v>
      </x:c>
      <x:c r="Q29" s="23" t="str">
        <x:v>—</x:v>
      </x:c>
      <x:c r="R29" s="23" t="str">
        <x:v>—</x:v>
      </x:c>
      <x:c r="S29" s="23" t="str">
        <x:v>—</x:v>
      </x:c>
      <x:c r="T29" s="23" t="str">
        <x:v>bullish</x:v>
      </x:c>
      <x:c r="U29" s="23" t="str">
        <x:v>bullish</x:v>
      </x:c>
    </x:row>
    <x:row r="30">
      <x:c r="A30" s="23" t="n">
        <x:v>320</x:v>
      </x:c>
      <x:c r="B30" s="23" t="str">
        <x:v>AAOI</x:v>
      </x:c>
      <x:c r="C30" s="53" t="n">
        <x:v>46180.45039351852</x:v>
      </x:c>
      <x:c r="D30" s="23" t="str">
        <x:v>aleabitoreddit</x:v>
      </x:c>
      <x:c r="E30" s="23" t="str">
        <x:v>bullish</x:v>
      </x:c>
      <x:c r="F30" s="34" t="n">
        <x:v>0.9</x:v>
      </x:c>
      <x:c r="G30" s="23" t="str">
        <x:v>auto</x:v>
      </x:c>
      <x:c r="H30" s="23" t="str">
        <x:v>vote 변경</x:v>
      </x:c>
      <x:c r="I30" s="23" t="str">
        <x:v>positive</x:v>
      </x:c>
      <x:c r="J30" s="23" t="n">
        <x:v>2</x:v>
      </x:c>
      <x:c r="K30" s="23" t="n">
        <x:v>0</x:v>
      </x:c>
      <x:c r="L30" s="23" t="n">
        <x:v>2</x:v>
      </x:c>
      <x:c r="M30" s="68" t="n">
        <x:v>1</x:v>
      </x:c>
      <x:c r="N30" s="68" t="n">
        <x:v>0</x:v>
      </x:c>
      <x:c r="O30" s="23" t="str">
        <x:v>positive</x:v>
      </x:c>
      <x:c r="P30" s="23" t="str">
        <x:v>none</x:v>
      </x:c>
      <x:c r="Q30" s="23" t="str">
        <x:v>—</x:v>
      </x:c>
      <x:c r="R30" s="23" t="str">
        <x:v>—</x:v>
      </x:c>
      <x:c r="S30" s="23" t="str">
        <x:v>—</x:v>
      </x:c>
      <x:c r="T30" s="23" t="str">
        <x:v>bullish</x:v>
      </x:c>
      <x:c r="U30" s="23" t="str">
        <x:v>bullish</x:v>
      </x:c>
    </x:row>
    <x:row r="31">
      <x:c r="A31" s="23" t="n">
        <x:v>508</x:v>
      </x:c>
      <x:c r="B31" s="23" t="str">
        <x:v>AAOI</x:v>
      </x:c>
      <x:c r="C31" s="53" t="n">
        <x:v>46181.59921296296</x:v>
      </x:c>
      <x:c r="D31" s="23" t="str">
        <x:v>aleabitoreddit</x:v>
      </x:c>
      <x:c r="E31" s="23" t="str">
        <x:v>bullish</x:v>
      </x:c>
      <x:c r="F31" s="34" t="n">
        <x:v>0.9</x:v>
      </x:c>
      <x:c r="G31" s="23" t="str">
        <x:v>needs_review</x:v>
      </x:c>
      <x:c r="H31" s="23" t="str">
        <x:v>근거만</x:v>
      </x:c>
      <x:c r="I31" s="23" t="str">
        <x:v>positive</x:v>
      </x:c>
      <x:c r="J31" s="23" t="n">
        <x:v>2</x:v>
      </x:c>
      <x:c r="K31" s="23" t="n">
        <x:v>0</x:v>
      </x:c>
      <x:c r="L31" s="23" t="n">
        <x:v>2</x:v>
      </x:c>
      <x:c r="M31" s="68" t="n">
        <x:v>1</x:v>
      </x:c>
      <x:c r="N31" s="68" t="n">
        <x:v>0</x:v>
      </x:c>
      <x:c r="O31" s="23" t="str">
        <x:v>positive</x:v>
      </x:c>
      <x:c r="P31" s="23" t="str">
        <x:v>none</x:v>
      </x:c>
      <x:c r="Q31" s="23" t="str">
        <x:v>—</x:v>
      </x:c>
      <x:c r="R31" s="23" t="str">
        <x:v>—</x:v>
      </x:c>
      <x:c r="S31" s="23" t="str">
        <x:v>—</x:v>
      </x:c>
      <x:c r="T31" s="23" t="str">
        <x:v>bullish</x:v>
      </x:c>
      <x:c r="U31" s="23" t="str">
        <x:v>bullish</x:v>
      </x:c>
    </x:row>
    <x:row r="32">
      <x:c r="A32" s="23" t="n">
        <x:v>356</x:v>
      </x:c>
      <x:c r="B32" s="23" t="str">
        <x:v>AAOI</x:v>
      </x:c>
      <x:c r="C32" s="53" t="n">
        <x:v>46182.280636574076</x:v>
      </x:c>
      <x:c r="D32" s="23" t="str">
        <x:v>aleabitoreddit</x:v>
      </x:c>
      <x:c r="E32" s="23" t="str">
        <x:v>bearish</x:v>
      </x:c>
      <x:c r="F32" s="34" t="n">
        <x:v>0.7</x:v>
      </x:c>
      <x:c r="G32" s="23" t="str">
        <x:v>needs_review</x:v>
      </x:c>
      <x:c r="H32" s="23" t="str">
        <x:v>근거만</x:v>
      </x:c>
      <x:c r="I32" s="23" t="str">
        <x:v>positive</x:v>
      </x:c>
      <x:c r="J32" s="23" t="n">
        <x:v>2</x:v>
      </x:c>
      <x:c r="K32" s="23" t="n">
        <x:v>0</x:v>
      </x:c>
      <x:c r="L32" s="23" t="n">
        <x:v>2</x:v>
      </x:c>
      <x:c r="M32" s="68" t="n">
        <x:v>1</x:v>
      </x:c>
      <x:c r="N32" s="68" t="n">
        <x:v>0</x:v>
      </x:c>
      <x:c r="O32" s="23" t="str">
        <x:v>positive</x:v>
      </x:c>
      <x:c r="P32" s="23" t="str">
        <x:v>none</x:v>
      </x:c>
      <x:c r="Q32" s="23" t="str">
        <x:v>—</x:v>
      </x:c>
      <x:c r="R32" s="23" t="str">
        <x:v>—</x:v>
      </x:c>
      <x:c r="S32" s="23" t="str">
        <x:v>—</x:v>
      </x:c>
      <x:c r="T32" s="23" t="str">
        <x:v>bullish</x:v>
      </x:c>
      <x:c r="U32" s="23" t="str">
        <x:v>bullish</x:v>
      </x:c>
    </x:row>
    <x:row r="33">
      <x:c r="A33" s="23" t="n">
        <x:v>790</x:v>
      </x:c>
      <x:c r="B33" s="23" t="str">
        <x:v>AAOI</x:v>
      </x:c>
      <x:c r="C33" s="53" t="n">
        <x:v>46182.49475694444</x:v>
      </x:c>
      <x:c r="D33" s="23" t="str">
        <x:v>aleabitoreddit</x:v>
      </x:c>
      <x:c r="E33" s="23" t="str">
        <x:v>bullish</x:v>
      </x:c>
      <x:c r="F33" s="34" t="n">
        <x:v>0.8</x:v>
      </x:c>
      <x:c r="G33" s="23" t="str">
        <x:v>auto</x:v>
      </x:c>
      <x:c r="H33" s="23" t="str">
        <x:v>vote 변경</x:v>
      </x:c>
      <x:c r="I33" s="23" t="str">
        <x:v>positive</x:v>
      </x:c>
      <x:c r="J33" s="23" t="n">
        <x:v>2</x:v>
      </x:c>
      <x:c r="K33" s="23" t="n">
        <x:v>0</x:v>
      </x:c>
      <x:c r="L33" s="23" t="n">
        <x:v>2</x:v>
      </x:c>
      <x:c r="M33" s="68" t="n">
        <x:v>1</x:v>
      </x:c>
      <x:c r="N33" s="68" t="n">
        <x:v>0</x:v>
      </x:c>
      <x:c r="O33" s="23" t="str">
        <x:v>positive</x:v>
      </x:c>
      <x:c r="P33" s="23" t="str">
        <x:v>none</x:v>
      </x:c>
      <x:c r="Q33" s="23" t="str">
        <x:v>—</x:v>
      </x:c>
      <x:c r="R33" s="23" t="str">
        <x:v>—</x:v>
      </x:c>
      <x:c r="S33" s="23" t="str">
        <x:v>—</x:v>
      </x:c>
      <x:c r="T33" s="23" t="str">
        <x:v>bullish</x:v>
      </x:c>
      <x:c r="U33" s="23" t="str">
        <x:v>bullish</x:v>
      </x:c>
    </x:row>
    <x:row r="34">
      <x:c r="A34" s="23" t="n">
        <x:v>369</x:v>
      </x:c>
      <x:c r="B34" s="23" t="str">
        <x:v>AAOI</x:v>
      </x:c>
      <x:c r="C34" s="53" t="n">
        <x:v>46183.07409722222</x:v>
      </x:c>
      <x:c r="D34" s="23" t="str">
        <x:v>aleabitoreddit</x:v>
      </x:c>
      <x:c r="E34" s="23" t="str">
        <x:v>neutral</x:v>
      </x:c>
      <x:c r="F34" s="34" t="n">
        <x:v>0.8</x:v>
      </x:c>
      <x:c r="G34" s="23" t="str">
        <x:v>auto</x:v>
      </x:c>
      <x:c r="H34" s="23" t="str">
        <x:v>근거만</x:v>
      </x:c>
      <x:c r="I34" s="23" t="str">
        <x:v>positive</x:v>
      </x:c>
      <x:c r="J34" s="23" t="n">
        <x:v>2</x:v>
      </x:c>
      <x:c r="K34" s="23" t="n">
        <x:v>0</x:v>
      </x:c>
      <x:c r="L34" s="23" t="n">
        <x:v>2</x:v>
      </x:c>
      <x:c r="M34" s="68" t="n">
        <x:v>1</x:v>
      </x:c>
      <x:c r="N34" s="68" t="n">
        <x:v>0</x:v>
      </x:c>
      <x:c r="O34" s="23" t="str">
        <x:v>positive</x:v>
      </x:c>
      <x:c r="P34" s="23" t="str">
        <x:v>none</x:v>
      </x:c>
      <x:c r="Q34" s="23" t="str">
        <x:v>—</x:v>
      </x:c>
      <x:c r="R34" s="23" t="str">
        <x:v>—</x:v>
      </x:c>
      <x:c r="S34" s="23" t="str">
        <x:v>—</x:v>
      </x:c>
      <x:c r="T34" s="23" t="str">
        <x:v>bullish</x:v>
      </x:c>
      <x:c r="U34" s="23" t="str">
        <x:v>bullish</x:v>
      </x:c>
    </x:row>
    <x:row r="35">
      <x:c r="A35" s="23" t="n">
        <x:v>389</x:v>
      </x:c>
      <x:c r="B35" s="23" t="str">
        <x:v>AAOI</x:v>
      </x:c>
      <x:c r="C35" s="53" t="n">
        <x:v>46183.57288194444</x:v>
      </x:c>
      <x:c r="D35" s="23" t="str">
        <x:v>aleabitoreddit</x:v>
      </x:c>
      <x:c r="E35" s="23" t="str">
        <x:v>bullish</x:v>
      </x:c>
      <x:c r="F35" s="34" t="n">
        <x:v>0.8</x:v>
      </x:c>
      <x:c r="G35" s="23" t="str">
        <x:v>auto</x:v>
      </x:c>
      <x:c r="H35" s="23" t="str">
        <x:v>vote 변경</x:v>
      </x:c>
      <x:c r="I35" s="23" t="str">
        <x:v>positive</x:v>
      </x:c>
      <x:c r="J35" s="23" t="n">
        <x:v>2</x:v>
      </x:c>
      <x:c r="K35" s="23" t="n">
        <x:v>0</x:v>
      </x:c>
      <x:c r="L35" s="23" t="n">
        <x:v>2</x:v>
      </x:c>
      <x:c r="M35" s="68" t="n">
        <x:v>1</x:v>
      </x:c>
      <x:c r="N35" s="68" t="n">
        <x:v>0</x:v>
      </x:c>
      <x:c r="O35" s="23" t="str">
        <x:v>positive</x:v>
      </x:c>
      <x:c r="P35" s="23" t="str">
        <x:v>none</x:v>
      </x:c>
      <x:c r="Q35" s="23" t="str">
        <x:v>—</x:v>
      </x:c>
      <x:c r="R35" s="23" t="str">
        <x:v>—</x:v>
      </x:c>
      <x:c r="S35" s="23" t="str">
        <x:v>—</x:v>
      </x:c>
      <x:c r="T35" s="23" t="str">
        <x:v>bullish</x:v>
      </x:c>
      <x:c r="U35" s="23" t="str">
        <x:v>bullish</x:v>
      </x:c>
    </x:row>
    <x:row r="36">
      <x:c r="A36" s="23" t="n">
        <x:v>415</x:v>
      </x:c>
      <x:c r="B36" s="23" t="str">
        <x:v>AAOI</x:v>
      </x:c>
      <x:c r="C36" s="53" t="n">
        <x:v>46184.62384259259</x:v>
      </x:c>
      <x:c r="D36" s="23" t="str">
        <x:v>aleabitoreddit</x:v>
      </x:c>
      <x:c r="E36" s="23" t="str">
        <x:v>bullish</x:v>
      </x:c>
      <x:c r="F36" s="34" t="n">
        <x:v>0.8</x:v>
      </x:c>
      <x:c r="G36" s="23" t="str">
        <x:v>auto</x:v>
      </x:c>
      <x:c r="H36" s="23" t="str">
        <x:v>vote 변경</x:v>
      </x:c>
      <x:c r="I36" s="23" t="str">
        <x:v>positive</x:v>
      </x:c>
      <x:c r="J36" s="23" t="n">
        <x:v>2</x:v>
      </x:c>
      <x:c r="K36" s="23" t="n">
        <x:v>0</x:v>
      </x:c>
      <x:c r="L36" s="23" t="n">
        <x:v>2</x:v>
      </x:c>
      <x:c r="M36" s="68" t="n">
        <x:v>1</x:v>
      </x:c>
      <x:c r="N36" s="68" t="n">
        <x:v>0</x:v>
      </x:c>
      <x:c r="O36" s="23" t="str">
        <x:v>positive</x:v>
      </x:c>
      <x:c r="P36" s="23" t="str">
        <x:v>none</x:v>
      </x:c>
      <x:c r="Q36" s="23" t="str">
        <x:v>—</x:v>
      </x:c>
      <x:c r="R36" s="23" t="str">
        <x:v>—</x:v>
      </x:c>
      <x:c r="S36" s="23" t="str">
        <x:v>—</x:v>
      </x:c>
      <x:c r="T36" s="23" t="str">
        <x:v>bullish</x:v>
      </x:c>
      <x:c r="U36" s="23" t="str">
        <x:v>bullish</x:v>
      </x:c>
    </x:row>
    <x:row r="37">
      <x:c r="A37" s="23" t="n">
        <x:v>417</x:v>
      </x:c>
      <x:c r="B37" s="23" t="str">
        <x:v>AAOI</x:v>
      </x:c>
      <x:c r="C37" s="53" t="n">
        <x:v>46184.67601851852</x:v>
      </x:c>
      <x:c r="D37" s="23" t="str">
        <x:v>aleabitoreddit</x:v>
      </x:c>
      <x:c r="E37" s="23" t="str">
        <x:v>bullish</x:v>
      </x:c>
      <x:c r="F37" s="34" t="n">
        <x:v>0.9</x:v>
      </x:c>
      <x:c r="G37" s="23" t="str">
        <x:v>auto</x:v>
      </x:c>
      <x:c r="H37" s="23" t="str">
        <x:v>vote 변경</x:v>
      </x:c>
      <x:c r="I37" s="23" t="str">
        <x:v>positive</x:v>
      </x:c>
      <x:c r="J37" s="23" t="n">
        <x:v>2</x:v>
      </x:c>
      <x:c r="K37" s="23" t="n">
        <x:v>0</x:v>
      </x:c>
      <x:c r="L37" s="23" t="n">
        <x:v>2</x:v>
      </x:c>
      <x:c r="M37" s="68" t="n">
        <x:v>1</x:v>
      </x:c>
      <x:c r="N37" s="68" t="n">
        <x:v>0</x:v>
      </x:c>
      <x:c r="O37" s="23" t="str">
        <x:v>positive</x:v>
      </x:c>
      <x:c r="P37" s="23" t="str">
        <x:v>none</x:v>
      </x:c>
      <x:c r="Q37" s="23" t="str">
        <x:v>—</x:v>
      </x:c>
      <x:c r="R37" s="23" t="str">
        <x:v>—</x:v>
      </x:c>
      <x:c r="S37" s="23" t="str">
        <x:v>—</x:v>
      </x:c>
      <x:c r="T37" s="23" t="str">
        <x:v>bullish</x:v>
      </x:c>
      <x:c r="U37" s="23" t="str">
        <x:v>bullish</x:v>
      </x:c>
    </x:row>
    <x:row r="38">
      <x:c r="A38" s="23" t="n">
        <x:v>440</x:v>
      </x:c>
      <x:c r="B38" s="23" t="str">
        <x:v>AAOI</x:v>
      </x:c>
      <x:c r="C38" s="53" t="n">
        <x:v>46185.185219907406</x:v>
      </x:c>
      <x:c r="D38" s="23" t="str">
        <x:v>aleabitoreddit</x:v>
      </x:c>
      <x:c r="E38" s="23" t="str">
        <x:v>bullish</x:v>
      </x:c>
      <x:c r="F38" s="34" t="n">
        <x:v>0.9</x:v>
      </x:c>
      <x:c r="G38" s="23" t="str">
        <x:v>auto</x:v>
      </x:c>
      <x:c r="H38" s="23" t="str">
        <x:v>vote 변경</x:v>
      </x:c>
      <x:c r="I38" s="23" t="str">
        <x:v>positive</x:v>
      </x:c>
      <x:c r="J38" s="23" t="n">
        <x:v>2</x:v>
      </x:c>
      <x:c r="K38" s="23" t="n">
        <x:v>0</x:v>
      </x:c>
      <x:c r="L38" s="23" t="n">
        <x:v>2</x:v>
      </x:c>
      <x:c r="M38" s="68" t="n">
        <x:v>1</x:v>
      </x:c>
      <x:c r="N38" s="68" t="n">
        <x:v>0</x:v>
      </x:c>
      <x:c r="O38" s="23" t="str">
        <x:v>positive</x:v>
      </x:c>
      <x:c r="P38" s="23" t="str">
        <x:v>none</x:v>
      </x:c>
      <x:c r="Q38" s="23" t="str">
        <x:v>—</x:v>
      </x:c>
      <x:c r="R38" s="23" t="str">
        <x:v>—</x:v>
      </x:c>
      <x:c r="S38" s="23" t="str">
        <x:v>—</x:v>
      </x:c>
      <x:c r="T38" s="23" t="str">
        <x:v>bullish</x:v>
      </x:c>
      <x:c r="U38" s="23" t="str">
        <x:v>bullish</x:v>
      </x:c>
    </x:row>
    <x:row r="39">
      <x:c r="A39" s="23" t="n">
        <x:v>485</x:v>
      </x:c>
      <x:c r="B39" s="23" t="str">
        <x:v>AAOI</x:v>
      </x:c>
      <x:c r="C39" s="53" t="n">
        <x:v>46188.08540509259</x:v>
      </x:c>
      <x:c r="D39" s="23" t="str">
        <x:v>aleabitoreddit</x:v>
      </x:c>
      <x:c r="E39" s="23" t="str">
        <x:v>bullish</x:v>
      </x:c>
      <x:c r="F39" s="34" t="n">
        <x:v>0.9</x:v>
      </x:c>
      <x:c r="G39" s="23" t="str">
        <x:v>auto</x:v>
      </x:c>
      <x:c r="H39" s="23" t="str">
        <x:v>vote 변경</x:v>
      </x:c>
      <x:c r="I39" s="23" t="str">
        <x:v>positive</x:v>
      </x:c>
      <x:c r="J39" s="23" t="n">
        <x:v>2</x:v>
      </x:c>
      <x:c r="K39" s="23" t="n">
        <x:v>0</x:v>
      </x:c>
      <x:c r="L39" s="23" t="n">
        <x:v>2</x:v>
      </x:c>
      <x:c r="M39" s="68" t="n">
        <x:v>1</x:v>
      </x:c>
      <x:c r="N39" s="68" t="n">
        <x:v>0</x:v>
      </x:c>
      <x:c r="O39" s="23" t="str">
        <x:v>positive</x:v>
      </x:c>
      <x:c r="P39" s="23" t="str">
        <x:v>none</x:v>
      </x:c>
      <x:c r="Q39" s="23" t="str">
        <x:v>—</x:v>
      </x:c>
      <x:c r="R39" s="23" t="str">
        <x:v>—</x:v>
      </x:c>
      <x:c r="S39" s="23" t="str">
        <x:v>—</x:v>
      </x:c>
      <x:c r="T39" s="23" t="str">
        <x:v>bullish</x:v>
      </x:c>
      <x:c r="U39" s="23" t="str">
        <x:v>bullish</x:v>
      </x:c>
    </x:row>
    <x:row r="40">
      <x:c r="A40" s="23" t="n">
        <x:v>518</x:v>
      </x:c>
      <x:c r="B40" s="23" t="str">
        <x:v>AAOI</x:v>
      </x:c>
      <x:c r="C40" s="53" t="n">
        <x:v>46188.58495370371</x:v>
      </x:c>
      <x:c r="D40" s="23" t="str">
        <x:v>aleabitoreddit</x:v>
      </x:c>
      <x:c r="E40" s="23" t="str">
        <x:v>bullish</x:v>
      </x:c>
      <x:c r="F40" s="34" t="n">
        <x:v>0.8</x:v>
      </x:c>
      <x:c r="G40" s="23" t="str">
        <x:v>auto</x:v>
      </x:c>
      <x:c r="H40" s="23" t="str">
        <x:v>vote 변경</x:v>
      </x:c>
      <x:c r="I40" s="23" t="str">
        <x:v>positive</x:v>
      </x:c>
      <x:c r="J40" s="23" t="n">
        <x:v>2</x:v>
      </x:c>
      <x:c r="K40" s="23" t="n">
        <x:v>0</x:v>
      </x:c>
      <x:c r="L40" s="23" t="n">
        <x:v>2</x:v>
      </x:c>
      <x:c r="M40" s="68" t="n">
        <x:v>1</x:v>
      </x:c>
      <x:c r="N40" s="68" t="n">
        <x:v>0</x:v>
      </x:c>
      <x:c r="O40" s="23" t="str">
        <x:v>positive</x:v>
      </x:c>
      <x:c r="P40" s="23" t="str">
        <x:v>none</x:v>
      </x:c>
      <x:c r="Q40" s="23" t="str">
        <x:v>—</x:v>
      </x:c>
      <x:c r="R40" s="23" t="str">
        <x:v>—</x:v>
      </x:c>
      <x:c r="S40" s="23" t="str">
        <x:v>—</x:v>
      </x:c>
      <x:c r="T40" s="23" t="str">
        <x:v>bullish</x:v>
      </x:c>
      <x:c r="U40" s="23" t="str">
        <x:v>bullish</x:v>
      </x:c>
    </x:row>
    <x:row r="41">
      <x:c r="A41" s="23" t="n">
        <x:v>550</x:v>
      </x:c>
      <x:c r="B41" s="23" t="str">
        <x:v>AAOI</x:v>
      </x:c>
      <x:c r="C41" s="53" t="n">
        <x:v>46189.21780092592</x:v>
      </x:c>
      <x:c r="D41" s="23" t="str">
        <x:v>aleabitoreddit</x:v>
      </x:c>
      <x:c r="E41" s="23" t="str">
        <x:v>bullish</x:v>
      </x:c>
      <x:c r="F41" s="34" t="n">
        <x:v>0.7</x:v>
      </x:c>
      <x:c r="G41" s="23" t="str">
        <x:v>needs_review</x:v>
      </x:c>
      <x:c r="H41" s="23" t="str">
        <x:v>근거만</x:v>
      </x:c>
      <x:c r="I41" s="23" t="str">
        <x:v>positive</x:v>
      </x:c>
      <x:c r="J41" s="23" t="n">
        <x:v>2</x:v>
      </x:c>
      <x:c r="K41" s="23" t="n">
        <x:v>0</x:v>
      </x:c>
      <x:c r="L41" s="23" t="n">
        <x:v>2</x:v>
      </x:c>
      <x:c r="M41" s="68" t="n">
        <x:v>1</x:v>
      </x:c>
      <x:c r="N41" s="68" t="n">
        <x:v>0</x:v>
      </x:c>
      <x:c r="O41" s="23" t="str">
        <x:v>positive</x:v>
      </x:c>
      <x:c r="P41" s="23" t="str">
        <x:v>none</x:v>
      </x:c>
      <x:c r="Q41" s="23" t="str">
        <x:v>—</x:v>
      </x:c>
      <x:c r="R41" s="23" t="str">
        <x:v>—</x:v>
      </x:c>
      <x:c r="S41" s="23" t="str">
        <x:v>—</x:v>
      </x:c>
      <x:c r="T41" s="23" t="str">
        <x:v>bullish</x:v>
      </x:c>
      <x:c r="U41" s="23" t="str">
        <x:v>bullish</x:v>
      </x:c>
    </x:row>
    <x:row r="42">
      <x:c r="A42" s="23" t="n">
        <x:v>555</x:v>
      </x:c>
      <x:c r="B42" s="23" t="str">
        <x:v>AAOI</x:v>
      </x:c>
      <x:c r="C42" s="53" t="n">
        <x:v>46189.31170138889</x:v>
      </x:c>
      <x:c r="D42" s="23" t="str">
        <x:v>aleabitoreddit</x:v>
      </x:c>
      <x:c r="E42" s="23" t="str">
        <x:v>bullish</x:v>
      </x:c>
      <x:c r="F42" s="34" t="n">
        <x:v>1</x:v>
      </x:c>
      <x:c r="G42" s="23" t="str">
        <x:v>auto</x:v>
      </x:c>
      <x:c r="H42" s="23" t="str">
        <x:v>vote 변경</x:v>
      </x:c>
      <x:c r="I42" s="23" t="str">
        <x:v>positive</x:v>
      </x:c>
      <x:c r="J42" s="23" t="n">
        <x:v>2</x:v>
      </x:c>
      <x:c r="K42" s="23" t="n">
        <x:v>0</x:v>
      </x:c>
      <x:c r="L42" s="23" t="n">
        <x:v>2</x:v>
      </x:c>
      <x:c r="M42" s="68" t="n">
        <x:v>1</x:v>
      </x:c>
      <x:c r="N42" s="68" t="n">
        <x:v>0</x:v>
      </x:c>
      <x:c r="O42" s="23" t="str">
        <x:v>positive</x:v>
      </x:c>
      <x:c r="P42" s="23" t="str">
        <x:v>none</x:v>
      </x:c>
      <x:c r="Q42" s="23" t="str">
        <x:v>—</x:v>
      </x:c>
      <x:c r="R42" s="23" t="str">
        <x:v>—</x:v>
      </x:c>
      <x:c r="S42" s="23" t="str">
        <x:v>—</x:v>
      </x:c>
      <x:c r="T42" s="23" t="str">
        <x:v>bullish</x:v>
      </x:c>
      <x:c r="U42" s="23" t="str">
        <x:v>bullish</x:v>
      </x:c>
    </x:row>
    <x:row r="43">
      <x:c r="A43" s="23" t="n">
        <x:v>554</x:v>
      </x:c>
      <x:c r="B43" s="23" t="str">
        <x:v>AAOI</x:v>
      </x:c>
      <x:c r="C43" s="53" t="n">
        <x:v>46189.312997685185</x:v>
      </x:c>
      <x:c r="D43" s="23" t="str">
        <x:v>aleabitoreddit</x:v>
      </x:c>
      <x:c r="E43" s="23" t="str">
        <x:v>bullish</x:v>
      </x:c>
      <x:c r="F43" s="34" t="n">
        <x:v>0.9</x:v>
      </x:c>
      <x:c r="G43" s="23" t="str">
        <x:v>auto</x:v>
      </x:c>
      <x:c r="H43" s="23" t="str">
        <x:v>vote 변경</x:v>
      </x:c>
      <x:c r="I43" s="23" t="str">
        <x:v>positive</x:v>
      </x:c>
      <x:c r="J43" s="23" t="n">
        <x:v>2</x:v>
      </x:c>
      <x:c r="K43" s="23" t="n">
        <x:v>0</x:v>
      </x:c>
      <x:c r="L43" s="23" t="n">
        <x:v>2</x:v>
      </x:c>
      <x:c r="M43" s="68" t="n">
        <x:v>1</x:v>
      </x:c>
      <x:c r="N43" s="68" t="n">
        <x:v>0</x:v>
      </x:c>
      <x:c r="O43" s="23" t="str">
        <x:v>positive</x:v>
      </x:c>
      <x:c r="P43" s="23" t="str">
        <x:v>none</x:v>
      </x:c>
      <x:c r="Q43" s="23" t="str">
        <x:v>—</x:v>
      </x:c>
      <x:c r="R43" s="23" t="str">
        <x:v>—</x:v>
      </x:c>
      <x:c r="S43" s="23" t="str">
        <x:v>—</x:v>
      </x:c>
      <x:c r="T43" s="23" t="str">
        <x:v>bullish</x:v>
      </x:c>
      <x:c r="U43" s="23" t="str">
        <x:v>bullish</x:v>
      </x:c>
    </x:row>
    <x:row r="44">
      <x:c r="A44" s="23" t="n">
        <x:v>575</x:v>
      </x:c>
      <x:c r="B44" s="23" t="str">
        <x:v>AAOI</x:v>
      </x:c>
      <x:c r="C44" s="53" t="n">
        <x:v>46190.10202546296</x:v>
      </x:c>
      <x:c r="D44" s="23" t="str">
        <x:v>aleabitoreddit</x:v>
      </x:c>
      <x:c r="E44" s="23" t="str">
        <x:v>bullish</x:v>
      </x:c>
      <x:c r="F44" s="34" t="n">
        <x:v>1</x:v>
      </x:c>
      <x:c r="G44" s="23" t="str">
        <x:v>auto</x:v>
      </x:c>
      <x:c r="H44" s="23" t="str">
        <x:v>vote 변경</x:v>
      </x:c>
      <x:c r="I44" s="23" t="str">
        <x:v>positive</x:v>
      </x:c>
      <x:c r="J44" s="23" t="n">
        <x:v>2</x:v>
      </x:c>
      <x:c r="K44" s="23" t="n">
        <x:v>0</x:v>
      </x:c>
      <x:c r="L44" s="23" t="n">
        <x:v>2</x:v>
      </x:c>
      <x:c r="M44" s="68" t="n">
        <x:v>1</x:v>
      </x:c>
      <x:c r="N44" s="68" t="n">
        <x:v>0</x:v>
      </x:c>
      <x:c r="O44" s="23" t="str">
        <x:v>positive</x:v>
      </x:c>
      <x:c r="P44" s="23" t="str">
        <x:v>none</x:v>
      </x:c>
      <x:c r="Q44" s="23" t="str">
        <x:v>—</x:v>
      </x:c>
      <x:c r="R44" s="23" t="str">
        <x:v>—</x:v>
      </x:c>
      <x:c r="S44" s="23" t="str">
        <x:v>—</x:v>
      </x:c>
      <x:c r="T44" s="23" t="str">
        <x:v>bullish</x:v>
      </x:c>
      <x:c r="U44" s="23" t="str">
        <x:v>bullish</x:v>
      </x:c>
    </x:row>
    <x:row r="45">
      <x:c r="A45" s="23" t="n">
        <x:v>572</x:v>
      </x:c>
      <x:c r="B45" s="23" t="str">
        <x:v>AAOI</x:v>
      </x:c>
      <x:c r="C45" s="53" t="n">
        <x:v>46190.1252662037</x:v>
      </x:c>
      <x:c r="D45" s="23" t="str">
        <x:v>aleabitoreddit</x:v>
      </x:c>
      <x:c r="E45" s="23" t="str">
        <x:v>neutral</x:v>
      </x:c>
      <x:c r="F45" s="34" t="n">
        <x:v>0.5</x:v>
      </x:c>
      <x:c r="G45" s="23" t="str">
        <x:v>needs_review</x:v>
      </x:c>
      <x:c r="H45" s="23" t="str">
        <x:v>근거만</x:v>
      </x:c>
      <x:c r="I45" s="23" t="str">
        <x:v>positive</x:v>
      </x:c>
      <x:c r="J45" s="23" t="n">
        <x:v>2</x:v>
      </x:c>
      <x:c r="K45" s="23" t="n">
        <x:v>0</x:v>
      </x:c>
      <x:c r="L45" s="23" t="n">
        <x:v>2</x:v>
      </x:c>
      <x:c r="M45" s="68" t="n">
        <x:v>1</x:v>
      </x:c>
      <x:c r="N45" s="68" t="n">
        <x:v>0</x:v>
      </x:c>
      <x:c r="O45" s="23" t="str">
        <x:v>positive</x:v>
      </x:c>
      <x:c r="P45" s="23" t="str">
        <x:v>none</x:v>
      </x:c>
      <x:c r="Q45" s="23" t="str">
        <x:v>—</x:v>
      </x:c>
      <x:c r="R45" s="23" t="str">
        <x:v>—</x:v>
      </x:c>
      <x:c r="S45" s="23" t="str">
        <x:v>—</x:v>
      </x:c>
      <x:c r="T45" s="23" t="str">
        <x:v>bullish</x:v>
      </x:c>
      <x:c r="U45" s="23" t="str">
        <x:v>bullish</x:v>
      </x:c>
    </x:row>
    <x:row r="46">
      <x:c r="A46" s="23" t="n">
        <x:v>586</x:v>
      </x:c>
      <x:c r="B46" s="23" t="str">
        <x:v>AAOI</x:v>
      </x:c>
      <x:c r="C46" s="53" t="n">
        <x:v>46190.47530092593</x:v>
      </x:c>
      <x:c r="D46" s="23" t="str">
        <x:v>aleabitoreddit</x:v>
      </x:c>
      <x:c r="E46" s="23" t="str">
        <x:v>bullish</x:v>
      </x:c>
      <x:c r="F46" s="34" t="n">
        <x:v>0.8</x:v>
      </x:c>
      <x:c r="G46" s="23" t="str">
        <x:v>auto</x:v>
      </x:c>
      <x:c r="H46" s="23" t="str">
        <x:v>vote 변경</x:v>
      </x:c>
      <x:c r="I46" s="23" t="str">
        <x:v>positive</x:v>
      </x:c>
      <x:c r="J46" s="23" t="n">
        <x:v>2</x:v>
      </x:c>
      <x:c r="K46" s="23" t="n">
        <x:v>0</x:v>
      </x:c>
      <x:c r="L46" s="23" t="n">
        <x:v>2</x:v>
      </x:c>
      <x:c r="M46" s="68" t="n">
        <x:v>1</x:v>
      </x:c>
      <x:c r="N46" s="68" t="n">
        <x:v>0</x:v>
      </x:c>
      <x:c r="O46" s="23" t="str">
        <x:v>positive</x:v>
      </x:c>
      <x:c r="P46" s="23" t="str">
        <x:v>none</x:v>
      </x:c>
      <x:c r="Q46" s="23" t="str">
        <x:v>—</x:v>
      </x:c>
      <x:c r="R46" s="23" t="str">
        <x:v>—</x:v>
      </x:c>
      <x:c r="S46" s="23" t="str">
        <x:v>—</x:v>
      </x:c>
      <x:c r="T46" s="23" t="str">
        <x:v>bullish</x:v>
      </x:c>
      <x:c r="U46" s="23" t="str">
        <x:v>bullish</x:v>
      </x:c>
    </x:row>
    <x:row r="47">
      <x:c r="A47" s="23" t="n">
        <x:v>614</x:v>
      </x:c>
      <x:c r="B47" s="23" t="str">
        <x:v>AAOI</x:v>
      </x:c>
      <x:c r="C47" s="53" t="n">
        <x:v>46191.4015162037</x:v>
      </x:c>
      <x:c r="D47" s="23" t="str">
        <x:v>aleabitoreddit</x:v>
      </x:c>
      <x:c r="E47" s="23" t="str">
        <x:v>bullish</x:v>
      </x:c>
      <x:c r="F47" s="34" t="n">
        <x:v>0.9</x:v>
      </x:c>
      <x:c r="G47" s="23" t="str">
        <x:v>auto</x:v>
      </x:c>
      <x:c r="H47" s="23" t="str">
        <x:v>vote 변경</x:v>
      </x:c>
      <x:c r="I47" s="23" t="str">
        <x:v>positive</x:v>
      </x:c>
      <x:c r="J47" s="23" t="n">
        <x:v>2</x:v>
      </x:c>
      <x:c r="K47" s="23" t="n">
        <x:v>0</x:v>
      </x:c>
      <x:c r="L47" s="23" t="n">
        <x:v>2</x:v>
      </x:c>
      <x:c r="M47" s="68" t="n">
        <x:v>1</x:v>
      </x:c>
      <x:c r="N47" s="68" t="n">
        <x:v>0</x:v>
      </x:c>
      <x:c r="O47" s="23" t="str">
        <x:v>positive</x:v>
      </x:c>
      <x:c r="P47" s="23" t="str">
        <x:v>none</x:v>
      </x:c>
      <x:c r="Q47" s="23" t="str">
        <x:v>—</x:v>
      </x:c>
      <x:c r="R47" s="23" t="str">
        <x:v>—</x:v>
      </x:c>
      <x:c r="S47" s="23" t="str">
        <x:v>—</x:v>
      </x:c>
      <x:c r="T47" s="23" t="str">
        <x:v>bullish</x:v>
      </x:c>
      <x:c r="U47" s="23" t="str">
        <x:v>bullish</x:v>
      </x:c>
    </x:row>
    <x:row r="48">
      <x:c r="A48" s="23" t="n">
        <x:v>625</x:v>
      </x:c>
      <x:c r="B48" s="23" t="str">
        <x:v>AAOI</x:v>
      </x:c>
      <x:c r="C48" s="53" t="n">
        <x:v>46191.633252314816</x:v>
      </x:c>
      <x:c r="D48" s="23" t="str">
        <x:v>aleabitoreddit</x:v>
      </x:c>
      <x:c r="E48" s="23" t="str">
        <x:v>bullish</x:v>
      </x:c>
      <x:c r="F48" s="34" t="n">
        <x:v>0.7</x:v>
      </x:c>
      <x:c r="G48" s="23" t="str">
        <x:v>needs_review</x:v>
      </x:c>
      <x:c r="H48" s="23" t="str">
        <x:v>근거만</x:v>
      </x:c>
      <x:c r="I48" s="23" t="str">
        <x:v>positive</x:v>
      </x:c>
      <x:c r="J48" s="23" t="n">
        <x:v>2</x:v>
      </x:c>
      <x:c r="K48" s="23" t="n">
        <x:v>0</x:v>
      </x:c>
      <x:c r="L48" s="23" t="n">
        <x:v>2</x:v>
      </x:c>
      <x:c r="M48" s="68" t="n">
        <x:v>1</x:v>
      </x:c>
      <x:c r="N48" s="68" t="n">
        <x:v>0</x:v>
      </x:c>
      <x:c r="O48" s="23" t="str">
        <x:v>positive</x:v>
      </x:c>
      <x:c r="P48" s="23" t="str">
        <x:v>none</x:v>
      </x:c>
      <x:c r="Q48" s="23" t="str">
        <x:v>—</x:v>
      </x:c>
      <x:c r="R48" s="23" t="str">
        <x:v>—</x:v>
      </x:c>
      <x:c r="S48" s="23" t="str">
        <x:v>—</x:v>
      </x:c>
      <x:c r="T48" s="23" t="str">
        <x:v>bullish</x:v>
      </x:c>
      <x:c r="U48" s="23" t="str">
        <x:v>bullish</x:v>
      </x:c>
    </x:row>
    <x:row r="49">
      <x:c r="A49" s="23" t="n">
        <x:v>631</x:v>
      </x:c>
      <x:c r="B49" s="23" t="str">
        <x:v>AAOI</x:v>
      </x:c>
      <x:c r="C49" s="53" t="n">
        <x:v>46192.38893518518</x:v>
      </x:c>
      <x:c r="D49" s="23" t="str">
        <x:v>aleabitoreddit</x:v>
      </x:c>
      <x:c r="E49" s="23" t="str">
        <x:v>bullish</x:v>
      </x:c>
      <x:c r="F49" s="34" t="n">
        <x:v>0.9</x:v>
      </x:c>
      <x:c r="G49" s="23" t="str">
        <x:v>auto</x:v>
      </x:c>
      <x:c r="H49" s="23" t="str">
        <x:v>vote 변경</x:v>
      </x:c>
      <x:c r="I49" s="23" t="str">
        <x:v>positive</x:v>
      </x:c>
      <x:c r="J49" s="23" t="n">
        <x:v>2</x:v>
      </x:c>
      <x:c r="K49" s="23" t="n">
        <x:v>0</x:v>
      </x:c>
      <x:c r="L49" s="23" t="n">
        <x:v>2</x:v>
      </x:c>
      <x:c r="M49" s="68" t="n">
        <x:v>1</x:v>
      </x:c>
      <x:c r="N49" s="68" t="n">
        <x:v>0</x:v>
      </x:c>
      <x:c r="O49" s="23" t="str">
        <x:v>positive</x:v>
      </x:c>
      <x:c r="P49" s="23" t="str">
        <x:v>none</x:v>
      </x:c>
      <x:c r="Q49" s="23" t="str">
        <x:v>—</x:v>
      </x:c>
      <x:c r="R49" s="23" t="str">
        <x:v>—</x:v>
      </x:c>
      <x:c r="S49" s="23" t="str">
        <x:v>—</x:v>
      </x:c>
      <x:c r="T49" s="23" t="str">
        <x:v>bullish</x:v>
      </x:c>
      <x:c r="U49" s="23" t="str">
        <x:v>bullish</x:v>
      </x:c>
    </x:row>
    <x:row r="50">
      <x:c r="A50" s="23" t="n">
        <x:v>1132</x:v>
      </x:c>
      <x:c r="B50" s="23" t="str">
        <x:v>AAOI</x:v>
      </x:c>
      <x:c r="C50" s="53" t="n">
        <x:v>46192.51363425926</x:v>
      </x:c>
      <x:c r="D50" s="23" t="str">
        <x:v>aleabitoreddit</x:v>
      </x:c>
      <x:c r="E50" s="23" t="str">
        <x:v>bullish</x:v>
      </x:c>
      <x:c r="F50" s="34" t="n">
        <x:v>0.8</x:v>
      </x:c>
      <x:c r="G50" s="23" t="str">
        <x:v>auto</x:v>
      </x:c>
      <x:c r="H50" s="23" t="str">
        <x:v>vote 변경</x:v>
      </x:c>
      <x:c r="I50" s="23" t="str">
        <x:v>positive</x:v>
      </x:c>
      <x:c r="J50" s="23" t="n">
        <x:v>2</x:v>
      </x:c>
      <x:c r="K50" s="23" t="n">
        <x:v>0</x:v>
      </x:c>
      <x:c r="L50" s="23" t="n">
        <x:v>2</x:v>
      </x:c>
      <x:c r="M50" s="68" t="n">
        <x:v>1</x:v>
      </x:c>
      <x:c r="N50" s="68" t="n">
        <x:v>0</x:v>
      </x:c>
      <x:c r="O50" s="23" t="str">
        <x:v>positive</x:v>
      </x:c>
      <x:c r="P50" s="23" t="str">
        <x:v>none</x:v>
      </x:c>
      <x:c r="Q50" s="23" t="str">
        <x:v>—</x:v>
      </x:c>
      <x:c r="R50" s="23" t="str">
        <x:v>—</x:v>
      </x:c>
      <x:c r="S50" s="23" t="str">
        <x:v>—</x:v>
      </x:c>
      <x:c r="T50" s="23" t="str">
        <x:v>bullish</x:v>
      </x:c>
      <x:c r="U50" s="23" t="str">
        <x:v>bullish</x:v>
      </x:c>
    </x:row>
    <x:row r="51">
      <x:c r="A51" s="23" t="n">
        <x:v>886</x:v>
      </x:c>
      <x:c r="B51" s="23" t="str">
        <x:v>AAOI</x:v>
      </x:c>
      <x:c r="C51" s="53" t="n">
        <x:v>46193.49501157407</x:v>
      </x:c>
      <x:c r="D51" s="23" t="str">
        <x:v>aleabitoreddit</x:v>
      </x:c>
      <x:c r="E51" s="23" t="str">
        <x:v>bullish</x:v>
      </x:c>
      <x:c r="F51" s="34" t="n">
        <x:v>0.9</x:v>
      </x:c>
      <x:c r="G51" s="23" t="str">
        <x:v>needs_review</x:v>
      </x:c>
      <x:c r="H51" s="23" t="str">
        <x:v>근거만</x:v>
      </x:c>
      <x:c r="I51" s="23" t="str">
        <x:v>positive</x:v>
      </x:c>
      <x:c r="J51" s="23" t="n">
        <x:v>2</x:v>
      </x:c>
      <x:c r="K51" s="23" t="n">
        <x:v>0</x:v>
      </x:c>
      <x:c r="L51" s="23" t="n">
        <x:v>2</x:v>
      </x:c>
      <x:c r="M51" s="68" t="n">
        <x:v>1</x:v>
      </x:c>
      <x:c r="N51" s="68" t="n">
        <x:v>0</x:v>
      </x:c>
      <x:c r="O51" s="23" t="str">
        <x:v>positive</x:v>
      </x:c>
      <x:c r="P51" s="23" t="str">
        <x:v>none</x:v>
      </x:c>
      <x:c r="Q51" s="23" t="str">
        <x:v>—</x:v>
      </x:c>
      <x:c r="R51" s="23" t="str">
        <x:v>—</x:v>
      </x:c>
      <x:c r="S51" s="23" t="str">
        <x:v>—</x:v>
      </x:c>
      <x:c r="T51" s="23" t="str">
        <x:v>bullish</x:v>
      </x:c>
      <x:c r="U51" s="23" t="str">
        <x:v>bullish</x:v>
      </x:c>
    </x:row>
    <x:row r="52">
      <x:c r="A52" s="23" t="n">
        <x:v>678</x:v>
      </x:c>
      <x:c r="B52" s="23" t="str">
        <x:v>AAOI</x:v>
      </x:c>
      <x:c r="C52" s="53" t="n">
        <x:v>46195.596921296295</x:v>
      </x:c>
      <x:c r="D52" s="23" t="str">
        <x:v>aleabitoreddit</x:v>
      </x:c>
      <x:c r="E52" s="23" t="str">
        <x:v>bullish</x:v>
      </x:c>
      <x:c r="F52" s="34" t="n">
        <x:v>0.8</x:v>
      </x:c>
      <x:c r="G52" s="23" t="str">
        <x:v>auto</x:v>
      </x:c>
      <x:c r="H52" s="23" t="str">
        <x:v>vote 변경</x:v>
      </x:c>
      <x:c r="I52" s="23" t="str">
        <x:v>positive</x:v>
      </x:c>
      <x:c r="J52" s="23" t="n">
        <x:v>2</x:v>
      </x:c>
      <x:c r="K52" s="23" t="n">
        <x:v>0</x:v>
      </x:c>
      <x:c r="L52" s="23" t="n">
        <x:v>2</x:v>
      </x:c>
      <x:c r="M52" s="68" t="n">
        <x:v>1</x:v>
      </x:c>
      <x:c r="N52" s="68" t="n">
        <x:v>0</x:v>
      </x:c>
      <x:c r="O52" s="23" t="str">
        <x:v>positive</x:v>
      </x:c>
      <x:c r="P52" s="23" t="str">
        <x:v>none</x:v>
      </x:c>
      <x:c r="Q52" s="23" t="str">
        <x:v>—</x:v>
      </x:c>
      <x:c r="R52" s="23" t="str">
        <x:v>—</x:v>
      </x:c>
      <x:c r="S52" s="23" t="str">
        <x:v>—</x:v>
      </x:c>
      <x:c r="T52" s="23" t="str">
        <x:v>bullish</x:v>
      </x:c>
      <x:c r="U52" s="23" t="str">
        <x:v>bullish</x:v>
      </x:c>
    </x:row>
    <x:row r="53">
      <x:c r="A53" s="23" t="n">
        <x:v>722</x:v>
      </x:c>
      <x:c r="B53" s="23" t="str">
        <x:v>AAOI</x:v>
      </x:c>
      <x:c r="C53" s="53" t="n">
        <x:v>46196.64127314815</x:v>
      </x:c>
      <x:c r="D53" s="23" t="str">
        <x:v>aleabitoreddit</x:v>
      </x:c>
      <x:c r="E53" s="23" t="str">
        <x:v>bullish</x:v>
      </x:c>
      <x:c r="F53" s="34" t="n">
        <x:v>0.8</x:v>
      </x:c>
      <x:c r="G53" s="23" t="str">
        <x:v>auto</x:v>
      </x:c>
      <x:c r="H53" s="23" t="str">
        <x:v>vote 변경</x:v>
      </x:c>
      <x:c r="I53" s="23" t="str">
        <x:v>positive</x:v>
      </x:c>
      <x:c r="J53" s="23" t="n">
        <x:v>2</x:v>
      </x:c>
      <x:c r="K53" s="23" t="n">
        <x:v>0</x:v>
      </x:c>
      <x:c r="L53" s="23" t="n">
        <x:v>2</x:v>
      </x:c>
      <x:c r="M53" s="68" t="n">
        <x:v>1</x:v>
      </x:c>
      <x:c r="N53" s="68" t="n">
        <x:v>0</x:v>
      </x:c>
      <x:c r="O53" s="23" t="str">
        <x:v>positive</x:v>
      </x:c>
      <x:c r="P53" s="23" t="str">
        <x:v>none</x:v>
      </x:c>
      <x:c r="Q53" s="23" t="str">
        <x:v>—</x:v>
      </x:c>
      <x:c r="R53" s="23" t="str">
        <x:v>—</x:v>
      </x:c>
      <x:c r="S53" s="23" t="str">
        <x:v>—</x:v>
      </x:c>
      <x:c r="T53" s="23" t="str">
        <x:v>bullish</x:v>
      </x:c>
      <x:c r="U53" s="23" t="str">
        <x:v>bullish</x:v>
      </x:c>
    </x:row>
    <x:row r="54">
      <x:c r="A54" s="23" t="n">
        <x:v>728</x:v>
      </x:c>
      <x:c r="B54" s="23" t="str">
        <x:v>AAOI</x:v>
      </x:c>
      <x:c r="C54" s="53" t="n">
        <x:v>46196.654270833336</x:v>
      </x:c>
      <x:c r="D54" s="23" t="str">
        <x:v>aleabitoreddit</x:v>
      </x:c>
      <x:c r="E54" s="23" t="str">
        <x:v>bearish</x:v>
      </x:c>
      <x:c r="F54" s="34" t="n">
        <x:v>0.8</x:v>
      </x:c>
      <x:c r="G54" s="23" t="str">
        <x:v>auto</x:v>
      </x:c>
      <x:c r="H54" s="23" t="str">
        <x:v>vote 변경</x:v>
      </x:c>
      <x:c r="I54" s="23" t="str">
        <x:v>positive</x:v>
      </x:c>
      <x:c r="J54" s="23" t="n">
        <x:v>1</x:v>
      </x:c>
      <x:c r="K54" s="23" t="n">
        <x:v>1</x:v>
      </x:c>
      <x:c r="L54" s="23" t="n">
        <x:v>2</x:v>
      </x:c>
      <x:c r="M54" s="68" t="n">
        <x:v>0.5</x:v>
      </x:c>
      <x:c r="N54" s="68" t="n">
        <x:v>0.5</x:v>
      </x:c>
      <x:c r="O54" s="23" t="str">
        <x:v>mixed</x:v>
      </x:c>
      <x:c r="P54" s="23" t="str">
        <x:v>exit</x:v>
      </x:c>
      <x:c r="Q54" s="23" t="str">
        <x:v>—</x:v>
      </x:c>
      <x:c r="R54" s="23" t="str">
        <x:v>—</x:v>
      </x:c>
      <x:c r="S54" s="23" t="str">
        <x:v>—</x:v>
      </x:c>
      <x:c r="T54" s="23" t="str">
        <x:v>bullish</x:v>
      </x:c>
      <x:c r="U54" s="23" t="str">
        <x:v>bearish</x:v>
      </x:c>
    </x:row>
    <x:row r="55">
      <x:c r="A55" s="23" t="n">
        <x:v>751</x:v>
      </x:c>
      <x:c r="B55" s="23" t="str">
        <x:v>AAOI</x:v>
      </x:c>
      <x:c r="C55" s="53" t="n">
        <x:v>46197.907997685186</x:v>
      </x:c>
      <x:c r="D55" s="23" t="str">
        <x:v>aleabitoreddit</x:v>
      </x:c>
      <x:c r="E55" s="23" t="str">
        <x:v>bullish</x:v>
      </x:c>
      <x:c r="F55" s="34" t="n">
        <x:v>0.6</x:v>
      </x:c>
      <x:c r="G55" s="23" t="str">
        <x:v>needs_review</x:v>
      </x:c>
      <x:c r="H55" s="23" t="str">
        <x:v>근거만</x:v>
      </x:c>
      <x:c r="I55" s="23" t="str">
        <x:v>mixed</x:v>
      </x:c>
      <x:c r="J55" s="23" t="n">
        <x:v>1</x:v>
      </x:c>
      <x:c r="K55" s="23" t="n">
        <x:v>1</x:v>
      </x:c>
      <x:c r="L55" s="23" t="n">
        <x:v>2</x:v>
      </x:c>
      <x:c r="M55" s="68" t="n">
        <x:v>0.5</x:v>
      </x:c>
      <x:c r="N55" s="68" t="n">
        <x:v>0.5</x:v>
      </x:c>
      <x:c r="O55" s="23" t="str">
        <x:v>mixed</x:v>
      </x:c>
      <x:c r="P55" s="23" t="str">
        <x:v>none</x:v>
      </x:c>
      <x:c r="Q55" s="23" t="str">
        <x:v>—</x:v>
      </x:c>
      <x:c r="R55" s="23" t="str">
        <x:v>—</x:v>
      </x:c>
      <x:c r="S55" s="23" t="str">
        <x:v>—</x:v>
      </x:c>
      <x:c r="T55" s="23" t="str">
        <x:v>bullish</x:v>
      </x:c>
      <x:c r="U55" s="23" t="str">
        <x:v>bearish</x:v>
      </x:c>
    </x:row>
    <x:row r="56">
      <x:c r="A56" s="23" t="n">
        <x:v>761</x:v>
      </x:c>
      <x:c r="B56" s="23" t="str">
        <x:v>AAOI</x:v>
      </x:c>
      <x:c r="C56" s="53" t="n">
        <x:v>46198.094247685185</x:v>
      </x:c>
      <x:c r="D56" s="23" t="str">
        <x:v>aleabitoreddit</x:v>
      </x:c>
      <x:c r="E56" s="23" t="str">
        <x:v>bullish</x:v>
      </x:c>
      <x:c r="F56" s="34" t="n">
        <x:v>0.7</x:v>
      </x:c>
      <x:c r="G56" s="23" t="str">
        <x:v>needs_review</x:v>
      </x:c>
      <x:c r="H56" s="23" t="str">
        <x:v>근거만</x:v>
      </x:c>
      <x:c r="I56" s="23" t="str">
        <x:v>mixed</x:v>
      </x:c>
      <x:c r="J56" s="23" t="n">
        <x:v>1</x:v>
      </x:c>
      <x:c r="K56" s="23" t="n">
        <x:v>1</x:v>
      </x:c>
      <x:c r="L56" s="23" t="n">
        <x:v>2</x:v>
      </x:c>
      <x:c r="M56" s="68" t="n">
        <x:v>0.5</x:v>
      </x:c>
      <x:c r="N56" s="68" t="n">
        <x:v>0.5</x:v>
      </x:c>
      <x:c r="O56" s="23" t="str">
        <x:v>mixed</x:v>
      </x:c>
      <x:c r="P56" s="23" t="str">
        <x:v>none</x:v>
      </x:c>
      <x:c r="Q56" s="23" t="str">
        <x:v>—</x:v>
      </x:c>
      <x:c r="R56" s="23" t="str">
        <x:v>—</x:v>
      </x:c>
      <x:c r="S56" s="23" t="str">
        <x:v>—</x:v>
      </x:c>
      <x:c r="T56" s="23" t="str">
        <x:v>bullish</x:v>
      </x:c>
      <x:c r="U56" s="23" t="str">
        <x:v>bearish</x:v>
      </x:c>
    </x:row>
    <x:row r="57">
      <x:c r="A57" s="23" t="n">
        <x:v>779</x:v>
      </x:c>
      <x:c r="B57" s="23" t="str">
        <x:v>AAOI</x:v>
      </x:c>
      <x:c r="C57" s="53" t="n">
        <x:v>46198.677395833336</x:v>
      </x:c>
      <x:c r="D57" s="23" t="str">
        <x:v>aleabitoreddit</x:v>
      </x:c>
      <x:c r="E57" s="23" t="str">
        <x:v>bullish</x:v>
      </x:c>
      <x:c r="F57" s="34" t="n">
        <x:v>0.9</x:v>
      </x:c>
      <x:c r="G57" s="23" t="str">
        <x:v>auto</x:v>
      </x:c>
      <x:c r="H57" s="23" t="str">
        <x:v>vote 변경</x:v>
      </x:c>
      <x:c r="I57" s="23" t="str">
        <x:v>mixed</x:v>
      </x:c>
      <x:c r="J57" s="23" t="n">
        <x:v>2</x:v>
      </x:c>
      <x:c r="K57" s="23" t="n">
        <x:v>0</x:v>
      </x:c>
      <x:c r="L57" s="23" t="n">
        <x:v>2</x:v>
      </x:c>
      <x:c r="M57" s="68" t="n">
        <x:v>1</x:v>
      </x:c>
      <x:c r="N57" s="68" t="n">
        <x:v>0</x:v>
      </x:c>
      <x:c r="O57" s="23" t="str">
        <x:v>positive</x:v>
      </x:c>
      <x:c r="P57" s="23" t="str">
        <x:v>entry</x:v>
      </x:c>
      <x:c r="Q57" s="23" t="str">
        <x:v>—</x:v>
      </x:c>
      <x:c r="R57" s="23" t="str">
        <x:v>—</x:v>
      </x:c>
      <x:c r="S57" s="23" t="str">
        <x:v>—</x:v>
      </x:c>
      <x:c r="T57" s="23" t="str">
        <x:v>bullish</x:v>
      </x:c>
      <x:c r="U57" s="23" t="str">
        <x:v>bullish</x:v>
      </x:c>
    </x:row>
    <x:row r="58">
      <x:c r="A58" s="23" t="n">
        <x:v>801</x:v>
      </x:c>
      <x:c r="B58" s="23" t="str">
        <x:v>AAOI</x:v>
      </x:c>
      <x:c r="C58" s="53" t="n">
        <x:v>46198.69600694445</x:v>
      </x:c>
      <x:c r="D58" s="23" t="str">
        <x:v>aleabitoreddit</x:v>
      </x:c>
      <x:c r="E58" s="23" t="str">
        <x:v>bullish</x:v>
      </x:c>
      <x:c r="F58" s="34" t="n">
        <x:v>0.9</x:v>
      </x:c>
      <x:c r="G58" s="23" t="str">
        <x:v>auto</x:v>
      </x:c>
      <x:c r="H58" s="23" t="str">
        <x:v>vote 변경</x:v>
      </x:c>
      <x:c r="I58" s="23" t="str">
        <x:v>positive</x:v>
      </x:c>
      <x:c r="J58" s="23" t="n">
        <x:v>2</x:v>
      </x:c>
      <x:c r="K58" s="23" t="n">
        <x:v>0</x:v>
      </x:c>
      <x:c r="L58" s="23" t="n">
        <x:v>2</x:v>
      </x:c>
      <x:c r="M58" s="68" t="n">
        <x:v>1</x:v>
      </x:c>
      <x:c r="N58" s="68" t="n">
        <x:v>0</x:v>
      </x:c>
      <x:c r="O58" s="23" t="str">
        <x:v>positive</x:v>
      </x:c>
      <x:c r="P58" s="23" t="str">
        <x:v>none</x:v>
      </x:c>
      <x:c r="Q58" s="23" t="str">
        <x:v>—</x:v>
      </x:c>
      <x:c r="R58" s="23" t="str">
        <x:v>—</x:v>
      </x:c>
      <x:c r="S58" s="23" t="str">
        <x:v>—</x:v>
      </x:c>
      <x:c r="T58" s="23" t="str">
        <x:v>bullish</x:v>
      </x:c>
      <x:c r="U58" s="23" t="str">
        <x:v>bullish</x:v>
      </x:c>
    </x:row>
    <x:row r="59">
      <x:c r="A59" s="23" t="n">
        <x:v>782</x:v>
      </x:c>
      <x:c r="B59" s="23" t="str">
        <x:v>AAOI</x:v>
      </x:c>
      <x:c r="C59" s="53" t="n">
        <x:v>46199.03486111111</x:v>
      </x:c>
      <x:c r="D59" s="23" t="str">
        <x:v>aleabitoreddit</x:v>
      </x:c>
      <x:c r="E59" s="23" t="str">
        <x:v>neutral</x:v>
      </x:c>
      <x:c r="F59" s="34" t="n">
        <x:v>0.5</x:v>
      </x:c>
      <x:c r="G59" s="23" t="str">
        <x:v>needs_review</x:v>
      </x:c>
      <x:c r="H59" s="23" t="str">
        <x:v>근거만</x:v>
      </x:c>
      <x:c r="I59" s="23" t="str">
        <x:v>positive</x:v>
      </x:c>
      <x:c r="J59" s="23" t="n">
        <x:v>2</x:v>
      </x:c>
      <x:c r="K59" s="23" t="n">
        <x:v>0</x:v>
      </x:c>
      <x:c r="L59" s="23" t="n">
        <x:v>2</x:v>
      </x:c>
      <x:c r="M59" s="68" t="n">
        <x:v>1</x:v>
      </x:c>
      <x:c r="N59" s="68" t="n">
        <x:v>0</x:v>
      </x:c>
      <x:c r="O59" s="23" t="str">
        <x:v>positive</x:v>
      </x:c>
      <x:c r="P59" s="23" t="str">
        <x:v>none</x:v>
      </x:c>
      <x:c r="Q59" s="23" t="str">
        <x:v>—</x:v>
      </x:c>
      <x:c r="R59" s="23" t="str">
        <x:v>—</x:v>
      </x:c>
      <x:c r="S59" s="23" t="str">
        <x:v>—</x:v>
      </x:c>
      <x:c r="T59" s="23" t="str">
        <x:v>bullish</x:v>
      </x:c>
      <x:c r="U59" s="23" t="str">
        <x:v>bullish</x:v>
      </x:c>
    </x:row>
    <x:row r="60">
      <x:c r="A60" s="23" t="n">
        <x:v>805</x:v>
      </x:c>
      <x:c r="B60" s="23" t="str">
        <x:v>AAOI</x:v>
      </x:c>
      <x:c r="C60" s="53" t="n">
        <x:v>46199.12934027778</x:v>
      </x:c>
      <x:c r="D60" s="23" t="str">
        <x:v>aleabitoreddit</x:v>
      </x:c>
      <x:c r="E60" s="23" t="str">
        <x:v>bullish</x:v>
      </x:c>
      <x:c r="F60" s="34" t="n">
        <x:v>0.8</x:v>
      </x:c>
      <x:c r="G60" s="23" t="str">
        <x:v>needs_review</x:v>
      </x:c>
      <x:c r="H60" s="23" t="str">
        <x:v>근거만</x:v>
      </x:c>
      <x:c r="I60" s="23" t="str">
        <x:v>positive</x:v>
      </x:c>
      <x:c r="J60" s="23" t="n">
        <x:v>2</x:v>
      </x:c>
      <x:c r="K60" s="23" t="n">
        <x:v>0</x:v>
      </x:c>
      <x:c r="L60" s="23" t="n">
        <x:v>2</x:v>
      </x:c>
      <x:c r="M60" s="68" t="n">
        <x:v>1</x:v>
      </x:c>
      <x:c r="N60" s="68" t="n">
        <x:v>0</x:v>
      </x:c>
      <x:c r="O60" s="23" t="str">
        <x:v>positive</x:v>
      </x:c>
      <x:c r="P60" s="23" t="str">
        <x:v>none</x:v>
      </x:c>
      <x:c r="Q60" s="23" t="str">
        <x:v>—</x:v>
      </x:c>
      <x:c r="R60" s="23" t="str">
        <x:v>—</x:v>
      </x:c>
      <x:c r="S60" s="23" t="str">
        <x:v>—</x:v>
      </x:c>
      <x:c r="T60" s="23" t="str">
        <x:v>bullish</x:v>
      </x:c>
      <x:c r="U60" s="23" t="str">
        <x:v>bullish</x:v>
      </x:c>
    </x:row>
    <x:row r="61">
      <x:c r="A61" s="23" t="n">
        <x:v>816</x:v>
      </x:c>
      <x:c r="B61" s="23" t="str">
        <x:v>AAOI</x:v>
      </x:c>
      <x:c r="C61" s="53" t="n">
        <x:v>46199.3768287037</x:v>
      </x:c>
      <x:c r="D61" s="23" t="str">
        <x:v>aleabitoreddit</x:v>
      </x:c>
      <x:c r="E61" s="23" t="str">
        <x:v>bullish</x:v>
      </x:c>
      <x:c r="F61" s="34" t="n">
        <x:v>0.9</x:v>
      </x:c>
      <x:c r="G61" s="23" t="str">
        <x:v>auto</x:v>
      </x:c>
      <x:c r="H61" s="23" t="str">
        <x:v>vote 변경</x:v>
      </x:c>
      <x:c r="I61" s="23" t="str">
        <x:v>positive</x:v>
      </x:c>
      <x:c r="J61" s="23" t="n">
        <x:v>2</x:v>
      </x:c>
      <x:c r="K61" s="23" t="n">
        <x:v>0</x:v>
      </x:c>
      <x:c r="L61" s="23" t="n">
        <x:v>2</x:v>
      </x:c>
      <x:c r="M61" s="68" t="n">
        <x:v>1</x:v>
      </x:c>
      <x:c r="N61" s="68" t="n">
        <x:v>0</x:v>
      </x:c>
      <x:c r="O61" s="23" t="str">
        <x:v>positive</x:v>
      </x:c>
      <x:c r="P61" s="23" t="str">
        <x:v>none</x:v>
      </x:c>
      <x:c r="Q61" s="23" t="str">
        <x:v>—</x:v>
      </x:c>
      <x:c r="R61" s="23" t="str">
        <x:v>—</x:v>
      </x:c>
      <x:c r="S61" s="23" t="str">
        <x:v>—</x:v>
      </x:c>
      <x:c r="T61" s="23" t="str">
        <x:v>bullish</x:v>
      </x:c>
      <x:c r="U61" s="23" t="str">
        <x:v>bullish</x:v>
      </x:c>
    </x:row>
    <x:row r="62">
      <x:c r="A62" s="23" t="n">
        <x:v>865</x:v>
      </x:c>
      <x:c r="B62" s="23" t="str">
        <x:v>AAOI</x:v>
      </x:c>
      <x:c r="C62" s="53" t="n">
        <x:v>46202.993993055556</x:v>
      </x:c>
      <x:c r="D62" s="23" t="str">
        <x:v>aleabitoreddit</x:v>
      </x:c>
      <x:c r="E62" s="23" t="str">
        <x:v>bullish</x:v>
      </x:c>
      <x:c r="F62" s="34" t="n">
        <x:v>0.8</x:v>
      </x:c>
      <x:c r="G62" s="23" t="str">
        <x:v>auto</x:v>
      </x:c>
      <x:c r="H62" s="23" t="str">
        <x:v>vote 변경</x:v>
      </x:c>
      <x:c r="I62" s="23" t="str">
        <x:v>positive</x:v>
      </x:c>
      <x:c r="J62" s="23" t="n">
        <x:v>2</x:v>
      </x:c>
      <x:c r="K62" s="23" t="n">
        <x:v>0</x:v>
      </x:c>
      <x:c r="L62" s="23" t="n">
        <x:v>2</x:v>
      </x:c>
      <x:c r="M62" s="68" t="n">
        <x:v>1</x:v>
      </x:c>
      <x:c r="N62" s="68" t="n">
        <x:v>0</x:v>
      </x:c>
      <x:c r="O62" s="23" t="str">
        <x:v>positive</x:v>
      </x:c>
      <x:c r="P62" s="23" t="str">
        <x:v>none</x:v>
      </x:c>
      <x:c r="Q62" s="23" t="str">
        <x:v>—</x:v>
      </x:c>
      <x:c r="R62" s="23" t="str">
        <x:v>—</x:v>
      </x:c>
      <x:c r="S62" s="23" t="str">
        <x:v>—</x:v>
      </x:c>
      <x:c r="T62" s="23" t="str">
        <x:v>bullish</x:v>
      </x:c>
      <x:c r="U62" s="23" t="str">
        <x:v>bullish</x:v>
      </x:c>
    </x:row>
    <x:row r="63">
      <x:c r="A63" s="23" t="n">
        <x:v>920</x:v>
      </x:c>
      <x:c r="B63" s="23" t="str">
        <x:v>AAOI</x:v>
      </x:c>
      <x:c r="C63" s="53" t="n">
        <x:v>46204.72791666666</x:v>
      </x:c>
      <x:c r="D63" s="23" t="str">
        <x:v>aleabitoreddit</x:v>
      </x:c>
      <x:c r="E63" s="23" t="str">
        <x:v>bullish</x:v>
      </x:c>
      <x:c r="F63" s="34" t="n">
        <x:v>0.8</x:v>
      </x:c>
      <x:c r="G63" s="23" t="str">
        <x:v>auto</x:v>
      </x:c>
      <x:c r="H63" s="23" t="str">
        <x:v>vote 변경</x:v>
      </x:c>
      <x:c r="I63" s="23" t="str">
        <x:v>positive</x:v>
      </x:c>
      <x:c r="J63" s="23" t="n">
        <x:v>2</x:v>
      </x:c>
      <x:c r="K63" s="23" t="n">
        <x:v>0</x:v>
      </x:c>
      <x:c r="L63" s="23" t="n">
        <x:v>2</x:v>
      </x:c>
      <x:c r="M63" s="68" t="n">
        <x:v>1</x:v>
      </x:c>
      <x:c r="N63" s="68" t="n">
        <x:v>0</x:v>
      </x:c>
      <x:c r="O63" s="23" t="str">
        <x:v>positive</x:v>
      </x:c>
      <x:c r="P63" s="23" t="str">
        <x:v>none</x:v>
      </x:c>
      <x:c r="Q63" s="23" t="str">
        <x:v>—</x:v>
      </x:c>
      <x:c r="R63" s="23" t="str">
        <x:v>—</x:v>
      </x:c>
      <x:c r="S63" s="23" t="str">
        <x:v>—</x:v>
      </x:c>
      <x:c r="T63" s="23" t="str">
        <x:v>bullish</x:v>
      </x:c>
      <x:c r="U63" s="23" t="str">
        <x:v>bullish</x:v>
      </x:c>
    </x:row>
    <x:row r="64">
      <x:c r="A64" s="23" t="n">
        <x:v>928</x:v>
      </x:c>
      <x:c r="B64" s="23" t="str">
        <x:v>AAOI</x:v>
      </x:c>
      <x:c r="C64" s="53" t="n">
        <x:v>46205.290300925924</x:v>
      </x:c>
      <x:c r="D64" s="23" t="str">
        <x:v>aleabitoreddit</x:v>
      </x:c>
      <x:c r="E64" s="23" t="str">
        <x:v>bullish</x:v>
      </x:c>
      <x:c r="F64" s="34" t="n">
        <x:v>0.6</x:v>
      </x:c>
      <x:c r="G64" s="23" t="str">
        <x:v>needs_review</x:v>
      </x:c>
      <x:c r="H64" s="23" t="str">
        <x:v>근거만</x:v>
      </x:c>
      <x:c r="I64" s="23" t="str">
        <x:v>positive</x:v>
      </x:c>
      <x:c r="J64" s="23" t="n">
        <x:v>2</x:v>
      </x:c>
      <x:c r="K64" s="23" t="n">
        <x:v>0</x:v>
      </x:c>
      <x:c r="L64" s="23" t="n">
        <x:v>2</x:v>
      </x:c>
      <x:c r="M64" s="68" t="n">
        <x:v>1</x:v>
      </x:c>
      <x:c r="N64" s="68" t="n">
        <x:v>0</x:v>
      </x:c>
      <x:c r="O64" s="23" t="str">
        <x:v>positive</x:v>
      </x:c>
      <x:c r="P64" s="23" t="str">
        <x:v>none</x:v>
      </x:c>
      <x:c r="Q64" s="23" t="str">
        <x:v>—</x:v>
      </x:c>
      <x:c r="R64" s="23" t="str">
        <x:v>—</x:v>
      </x:c>
      <x:c r="S64" s="23" t="str">
        <x:v>—</x:v>
      </x:c>
      <x:c r="T64" s="23" t="str">
        <x:v>bullish</x:v>
      </x:c>
      <x:c r="U64" s="23" t="str">
        <x:v>bullish</x:v>
      </x:c>
    </x:row>
    <x:row r="65">
      <x:c r="A65" s="23" t="n">
        <x:v>944</x:v>
      </x:c>
      <x:c r="B65" s="23" t="str">
        <x:v>AAOI</x:v>
      </x:c>
      <x:c r="C65" s="53" t="n">
        <x:v>46205.70591435185</x:v>
      </x:c>
      <x:c r="D65" s="23" t="str">
        <x:v>aleabitoreddit</x:v>
      </x:c>
      <x:c r="E65" s="23" t="str">
        <x:v>bullish</x:v>
      </x:c>
      <x:c r="F65" s="34" t="n">
        <x:v>0.9</x:v>
      </x:c>
      <x:c r="G65" s="23" t="str">
        <x:v>auto</x:v>
      </x:c>
      <x:c r="H65" s="23" t="str">
        <x:v>vote 변경</x:v>
      </x:c>
      <x:c r="I65" s="23" t="str">
        <x:v>positive</x:v>
      </x:c>
      <x:c r="J65" s="23" t="n">
        <x:v>2</x:v>
      </x:c>
      <x:c r="K65" s="23" t="n">
        <x:v>0</x:v>
      </x:c>
      <x:c r="L65" s="23" t="n">
        <x:v>2</x:v>
      </x:c>
      <x:c r="M65" s="68" t="n">
        <x:v>1</x:v>
      </x:c>
      <x:c r="N65" s="68" t="n">
        <x:v>0</x:v>
      </x:c>
      <x:c r="O65" s="23" t="str">
        <x:v>positive</x:v>
      </x:c>
      <x:c r="P65" s="23" t="str">
        <x:v>none</x:v>
      </x:c>
      <x:c r="Q65" s="23" t="str">
        <x:v>—</x:v>
      </x:c>
      <x:c r="R65" s="23" t="str">
        <x:v>—</x:v>
      </x:c>
      <x:c r="S65" s="23" t="str">
        <x:v>—</x:v>
      </x:c>
      <x:c r="T65" s="23" t="str">
        <x:v>bullish</x:v>
      </x:c>
      <x:c r="U65" s="23" t="str">
        <x:v>bullish</x:v>
      </x:c>
    </x:row>
    <x:row r="66">
      <x:c r="A66" s="23" t="n">
        <x:v>939</x:v>
      </x:c>
      <x:c r="B66" s="23" t="str">
        <x:v>AAOI</x:v>
      </x:c>
      <x:c r="C66" s="53" t="n">
        <x:v>46205.713692129626</x:v>
      </x:c>
      <x:c r="D66" s="23" t="str">
        <x:v>aleabitoreddit</x:v>
      </x:c>
      <x:c r="E66" s="23" t="str">
        <x:v>neutral</x:v>
      </x:c>
      <x:c r="F66" s="34" t="n">
        <x:v>0.3</x:v>
      </x:c>
      <x:c r="G66" s="23" t="str">
        <x:v>needs_review</x:v>
      </x:c>
      <x:c r="H66" s="23" t="str">
        <x:v>근거만</x:v>
      </x:c>
      <x:c r="I66" s="23" t="str">
        <x:v>positive</x:v>
      </x:c>
      <x:c r="J66" s="23" t="n">
        <x:v>2</x:v>
      </x:c>
      <x:c r="K66" s="23" t="n">
        <x:v>0</x:v>
      </x:c>
      <x:c r="L66" s="23" t="n">
        <x:v>2</x:v>
      </x:c>
      <x:c r="M66" s="68" t="n">
        <x:v>1</x:v>
      </x:c>
      <x:c r="N66" s="68" t="n">
        <x:v>0</x:v>
      </x:c>
      <x:c r="O66" s="23" t="str">
        <x:v>positive</x:v>
      </x:c>
      <x:c r="P66" s="23" t="str">
        <x:v>none</x:v>
      </x:c>
      <x:c r="Q66" s="23" t="str">
        <x:v>—</x:v>
      </x:c>
      <x:c r="R66" s="23" t="str">
        <x:v>—</x:v>
      </x:c>
      <x:c r="S66" s="23" t="str">
        <x:v>—</x:v>
      </x:c>
      <x:c r="T66" s="23" t="str">
        <x:v>bullish</x:v>
      </x:c>
      <x:c r="U66" s="23" t="str">
        <x:v>bullish</x:v>
      </x:c>
    </x:row>
    <x:row r="67">
      <x:c r="A67" s="23" t="n">
        <x:v>989</x:v>
      </x:c>
      <x:c r="B67" s="23" t="str">
        <x:v>AAOI</x:v>
      </x:c>
      <x:c r="C67" s="53" t="n">
        <x:v>46206.25623842593</x:v>
      </x:c>
      <x:c r="D67" s="23" t="str">
        <x:v>aleabitoreddit</x:v>
      </x:c>
      <x:c r="E67" s="23" t="str">
        <x:v>bullish</x:v>
      </x:c>
      <x:c r="F67" s="34" t="n">
        <x:v>0.6</x:v>
      </x:c>
      <x:c r="G67" s="23" t="str">
        <x:v>needs_review</x:v>
      </x:c>
      <x:c r="H67" s="23" t="str">
        <x:v>근거만</x:v>
      </x:c>
      <x:c r="I67" s="23" t="str">
        <x:v>positive</x:v>
      </x:c>
      <x:c r="J67" s="23" t="n">
        <x:v>2</x:v>
      </x:c>
      <x:c r="K67" s="23" t="n">
        <x:v>0</x:v>
      </x:c>
      <x:c r="L67" s="23" t="n">
        <x:v>2</x:v>
      </x:c>
      <x:c r="M67" s="68" t="n">
        <x:v>1</x:v>
      </x:c>
      <x:c r="N67" s="68" t="n">
        <x:v>0</x:v>
      </x:c>
      <x:c r="O67" s="23" t="str">
        <x:v>positive</x:v>
      </x:c>
      <x:c r="P67" s="23" t="str">
        <x:v>none</x:v>
      </x:c>
      <x:c r="Q67" s="23" t="str">
        <x:v>—</x:v>
      </x:c>
      <x:c r="R67" s="23" t="str">
        <x:v>—</x:v>
      </x:c>
      <x:c r="S67" s="23" t="str">
        <x:v>—</x:v>
      </x:c>
      <x:c r="T67" s="23" t="str">
        <x:v>bullish</x:v>
      </x:c>
      <x:c r="U67" s="23" t="str">
        <x:v>bullish</x:v>
      </x:c>
    </x:row>
    <x:row r="68">
      <x:c r="A68" s="23" t="n">
        <x:v>1060</x:v>
      </x:c>
      <x:c r="B68" s="23" t="str">
        <x:v>AAOI</x:v>
      </x:c>
      <x:c r="C68" s="53" t="n">
        <x:v>46209.64283564815</x:v>
      </x:c>
      <x:c r="D68" s="23" t="str">
        <x:v>aleabitoreddit</x:v>
      </x:c>
      <x:c r="E68" s="23" t="str">
        <x:v>bullish</x:v>
      </x:c>
      <x:c r="F68" s="34" t="n">
        <x:v>0.8</x:v>
      </x:c>
      <x:c r="G68" s="23" t="str">
        <x:v>auto</x:v>
      </x:c>
      <x:c r="H68" s="23" t="str">
        <x:v>vote 변경</x:v>
      </x:c>
      <x:c r="I68" s="23" t="str">
        <x:v>positive</x:v>
      </x:c>
      <x:c r="J68" s="23" t="n">
        <x:v>2</x:v>
      </x:c>
      <x:c r="K68" s="23" t="n">
        <x:v>0</x:v>
      </x:c>
      <x:c r="L68" s="23" t="n">
        <x:v>2</x:v>
      </x:c>
      <x:c r="M68" s="68" t="n">
        <x:v>1</x:v>
      </x:c>
      <x:c r="N68" s="68" t="n">
        <x:v>0</x:v>
      </x:c>
      <x:c r="O68" s="23" t="str">
        <x:v>positive</x:v>
      </x:c>
      <x:c r="P68" s="23" t="str">
        <x:v>none</x:v>
      </x:c>
      <x:c r="Q68" s="23" t="str">
        <x:v>—</x:v>
      </x:c>
      <x:c r="R68" s="23" t="str">
        <x:v>—</x:v>
      </x:c>
      <x:c r="S68" s="23" t="str">
        <x:v>—</x:v>
      </x:c>
      <x:c r="T68" s="23" t="str">
        <x:v>bullish</x:v>
      </x:c>
      <x:c r="U68" s="23" t="str">
        <x:v>bullish</x:v>
      </x:c>
    </x:row>
    <x:row r="69">
      <x:c r="A69" s="23" t="n">
        <x:v>47</x:v>
      </x:c>
      <x:c r="B69" s="23" t="str">
        <x:v>AAOI</x:v>
      </x:c>
      <x:c r="C69" s="53" t="n">
        <x:v>46213.349641203706</x:v>
      </x:c>
      <x:c r="D69" s="23" t="str">
        <x:v>aleabitoreddit</x:v>
      </x:c>
      <x:c r="E69" s="23" t="str">
        <x:v>bullish</x:v>
      </x:c>
      <x:c r="F69" s="34" t="n">
        <x:v>0.9</x:v>
      </x:c>
      <x:c r="G69" s="23" t="str">
        <x:v>auto</x:v>
      </x:c>
      <x:c r="H69" s="23" t="str">
        <x:v>vote 변경</x:v>
      </x:c>
      <x:c r="I69" s="23" t="str">
        <x:v>positive</x:v>
      </x:c>
      <x:c r="J69" s="23" t="n">
        <x:v>2</x:v>
      </x:c>
      <x:c r="K69" s="23" t="n">
        <x:v>0</x:v>
      </x:c>
      <x:c r="L69" s="23" t="n">
        <x:v>2</x:v>
      </x:c>
      <x:c r="M69" s="68" t="n">
        <x:v>1</x:v>
      </x:c>
      <x:c r="N69" s="68" t="n">
        <x:v>0</x:v>
      </x:c>
      <x:c r="O69" s="23" t="str">
        <x:v>positive</x:v>
      </x:c>
      <x:c r="P69" s="23" t="str">
        <x:v>none</x:v>
      </x:c>
      <x:c r="Q69" s="23" t="str">
        <x:v>—</x:v>
      </x:c>
      <x:c r="R69" s="23" t="str">
        <x:v>—</x:v>
      </x:c>
      <x:c r="S69" s="23" t="str">
        <x:v>—</x:v>
      </x:c>
      <x:c r="T69" s="23" t="str">
        <x:v>bullish</x:v>
      </x:c>
      <x:c r="U69" s="23" t="str">
        <x:v>bullish</x:v>
      </x:c>
    </x:row>
    <x:row r="70">
      <x:c r="A70" s="23" t="n">
        <x:v>50</x:v>
      </x:c>
      <x:c r="B70" s="23" t="str">
        <x:v>AAOI</x:v>
      </x:c>
      <x:c r="C70" s="53" t="n">
        <x:v>46213.47771990741</x:v>
      </x:c>
      <x:c r="D70" s="23" t="str">
        <x:v>aleabitoreddit</x:v>
      </x:c>
      <x:c r="E70" s="23" t="str">
        <x:v>bullish</x:v>
      </x:c>
      <x:c r="F70" s="34" t="n">
        <x:v>0.7</x:v>
      </x:c>
      <x:c r="G70" s="23" t="str">
        <x:v>needs_review</x:v>
      </x:c>
      <x:c r="H70" s="23" t="str">
        <x:v>근거만</x:v>
      </x:c>
      <x:c r="I70" s="23" t="str">
        <x:v>positive</x:v>
      </x:c>
      <x:c r="J70" s="23" t="n">
        <x:v>2</x:v>
      </x:c>
      <x:c r="K70" s="23" t="n">
        <x:v>0</x:v>
      </x:c>
      <x:c r="L70" s="23" t="n">
        <x:v>2</x:v>
      </x:c>
      <x:c r="M70" s="68" t="n">
        <x:v>1</x:v>
      </x:c>
      <x:c r="N70" s="68" t="n">
        <x:v>0</x:v>
      </x:c>
      <x:c r="O70" s="23" t="str">
        <x:v>positive</x:v>
      </x:c>
      <x:c r="P70" s="23" t="str">
        <x:v>none</x:v>
      </x:c>
      <x:c r="Q70" s="23" t="str">
        <x:v>—</x:v>
      </x:c>
      <x:c r="R70" s="23" t="str">
        <x:v>—</x:v>
      </x:c>
      <x:c r="S70" s="23" t="str">
        <x:v>—</x:v>
      </x:c>
      <x:c r="T70" s="23" t="str">
        <x:v>bullish</x:v>
      </x:c>
      <x:c r="U70" s="23" t="str">
        <x:v>bullish</x:v>
      </x:c>
    </x:row>
    <x:row r="71">
      <x:c r="A71" s="23" t="n">
        <x:v>79</x:v>
      </x:c>
      <x:c r="B71" s="23" t="str">
        <x:v>AAOI</x:v>
      </x:c>
      <x:c r="C71" s="53" t="n">
        <x:v>46216.846504629626</x:v>
      </x:c>
      <x:c r="D71" s="23" t="str">
        <x:v>aleabitoreddit</x:v>
      </x:c>
      <x:c r="E71" s="23" t="str">
        <x:v>bearish</x:v>
      </x:c>
      <x:c r="F71" s="34" t="n">
        <x:v>0.8</x:v>
      </x:c>
      <x:c r="G71" s="23" t="str">
        <x:v>auto</x:v>
      </x:c>
      <x:c r="H71" s="23" t="str">
        <x:v>vote 변경</x:v>
      </x:c>
      <x:c r="I71" s="23" t="str">
        <x:v>positive</x:v>
      </x:c>
      <x:c r="J71" s="23" t="n">
        <x:v>1</x:v>
      </x:c>
      <x:c r="K71" s="23" t="n">
        <x:v>1</x:v>
      </x:c>
      <x:c r="L71" s="23" t="n">
        <x:v>2</x:v>
      </x:c>
      <x:c r="M71" s="68" t="n">
        <x:v>0.5</x:v>
      </x:c>
      <x:c r="N71" s="68" t="n">
        <x:v>0.5</x:v>
      </x:c>
      <x:c r="O71" s="23" t="str">
        <x:v>mixed</x:v>
      </x:c>
      <x:c r="P71" s="23" t="str">
        <x:v>exit</x:v>
      </x:c>
      <x:c r="Q71" s="23" t="str">
        <x:v>—</x:v>
      </x:c>
      <x:c r="R71" s="23" t="str">
        <x:v>—</x:v>
      </x:c>
      <x:c r="S71" s="23" t="str">
        <x:v>—</x:v>
      </x:c>
      <x:c r="T71" s="23" t="str">
        <x:v>bullish</x:v>
      </x:c>
      <x:c r="U71" s="23" t="str">
        <x:v>bearish</x:v>
      </x:c>
    </x:row>
    <x:row r="72">
      <x:c r="A72" s="23" t="n">
        <x:v>84</x:v>
      </x:c>
      <x:c r="B72" s="23" t="str">
        <x:v>AAOI</x:v>
      </x:c>
      <x:c r="C72" s="53" t="n">
        <x:v>46216.970671296294</x:v>
      </x:c>
      <x:c r="D72" s="23" t="str">
        <x:v>aleabitoreddit</x:v>
      </x:c>
      <x:c r="E72" s="23" t="str">
        <x:v>bullish</x:v>
      </x:c>
      <x:c r="F72" s="34" t="n">
        <x:v>0.8</x:v>
      </x:c>
      <x:c r="G72" s="23" t="str">
        <x:v>auto</x:v>
      </x:c>
      <x:c r="H72" s="23" t="str">
        <x:v>vote 변경</x:v>
      </x:c>
      <x:c r="I72" s="23" t="str">
        <x:v>mixed</x:v>
      </x:c>
      <x:c r="J72" s="23" t="n">
        <x:v>2</x:v>
      </x:c>
      <x:c r="K72" s="23" t="n">
        <x:v>0</x:v>
      </x:c>
      <x:c r="L72" s="23" t="n">
        <x:v>2</x:v>
      </x:c>
      <x:c r="M72" s="68" t="n">
        <x:v>1</x:v>
      </x:c>
      <x:c r="N72" s="68" t="n">
        <x:v>0</x:v>
      </x:c>
      <x:c r="O72" s="23" t="str">
        <x:v>positive</x:v>
      </x:c>
      <x:c r="P72" s="23" t="str">
        <x:v>entry</x:v>
      </x:c>
      <x:c r="Q72" s="23" t="str">
        <x:v>—</x:v>
      </x:c>
      <x:c r="R72" s="23" t="str">
        <x:v>—</x:v>
      </x:c>
      <x:c r="S72" s="23" t="str">
        <x:v>—</x:v>
      </x:c>
      <x:c r="T72" s="23" t="str">
        <x:v>bullish</x:v>
      </x:c>
      <x:c r="U72" s="23" t="str">
        <x:v>bullish</x:v>
      </x:c>
    </x:row>
    <x:row r="73">
      <x:c r="A73" s="23" t="n">
        <x:v>90</x:v>
      </x:c>
      <x:c r="B73" s="23" t="str">
        <x:v>AAOI</x:v>
      </x:c>
      <x:c r="C73" s="53" t="n">
        <x:v>46217.60821759259</x:v>
      </x:c>
      <x:c r="D73" s="23" t="str">
        <x:v>aleabitoreddit</x:v>
      </x:c>
      <x:c r="E73" s="23" t="str">
        <x:v>neutral</x:v>
      </x:c>
      <x:c r="F73" s="34" t="n">
        <x:v>0.6</x:v>
      </x:c>
      <x:c r="G73" s="23" t="str">
        <x:v>needs_review</x:v>
      </x:c>
      <x:c r="H73" s="23" t="str">
        <x:v>근거만</x:v>
      </x:c>
      <x:c r="I73" s="23" t="str">
        <x:v>positive</x:v>
      </x:c>
      <x:c r="J73" s="23" t="n">
        <x:v>2</x:v>
      </x:c>
      <x:c r="K73" s="23" t="n">
        <x:v>0</x:v>
      </x:c>
      <x:c r="L73" s="23" t="n">
        <x:v>2</x:v>
      </x:c>
      <x:c r="M73" s="68" t="n">
        <x:v>1</x:v>
      </x:c>
      <x:c r="N73" s="68" t="n">
        <x:v>0</x:v>
      </x:c>
      <x:c r="O73" s="23" t="str">
        <x:v>positive</x:v>
      </x:c>
      <x:c r="P73" s="23" t="str">
        <x:v>none</x:v>
      </x:c>
      <x:c r="Q73" s="23" t="str">
        <x:v>—</x:v>
      </x:c>
      <x:c r="R73" s="23" t="str">
        <x:v>—</x:v>
      </x:c>
      <x:c r="S73" s="23" t="str">
        <x:v>—</x:v>
      </x:c>
      <x:c r="T73" s="23" t="str">
        <x:v>bullish</x:v>
      </x:c>
      <x:c r="U73" s="23" t="str">
        <x:v>bullish</x:v>
      </x:c>
    </x:row>
    <x:row r="74">
      <x:c r="A74" s="23" t="n">
        <x:v>108</x:v>
      </x:c>
      <x:c r="B74" s="23" t="str">
        <x:v>AAOI</x:v>
      </x:c>
      <x:c r="C74" s="53" t="n">
        <x:v>46218.63043981481</x:v>
      </x:c>
      <x:c r="D74" s="23" t="str">
        <x:v>aleabitoreddit</x:v>
      </x:c>
      <x:c r="E74" s="23" t="str">
        <x:v>bullish</x:v>
      </x:c>
      <x:c r="F74" s="34" t="n">
        <x:v>0.8</x:v>
      </x:c>
      <x:c r="G74" s="23" t="str">
        <x:v>auto</x:v>
      </x:c>
      <x:c r="H74" s="23" t="str">
        <x:v>vote 변경</x:v>
      </x:c>
      <x:c r="I74" s="23" t="str">
        <x:v>positive</x:v>
      </x:c>
      <x:c r="J74" s="23" t="n">
        <x:v>2</x:v>
      </x:c>
      <x:c r="K74" s="23" t="n">
        <x:v>0</x:v>
      </x:c>
      <x:c r="L74" s="23" t="n">
        <x:v>2</x:v>
      </x:c>
      <x:c r="M74" s="68" t="n">
        <x:v>1</x:v>
      </x:c>
      <x:c r="N74" s="68" t="n">
        <x:v>0</x:v>
      </x:c>
      <x:c r="O74" s="23" t="str">
        <x:v>positive</x:v>
      </x:c>
      <x:c r="P74" s="23" t="str">
        <x:v>none</x:v>
      </x:c>
      <x:c r="Q74" s="23" t="str">
        <x:v>—</x:v>
      </x:c>
      <x:c r="R74" s="23" t="str">
        <x:v>—</x:v>
      </x:c>
      <x:c r="S74" s="23" t="str">
        <x:v>—</x:v>
      </x:c>
      <x:c r="T74" s="23" t="str">
        <x:v>bullish</x:v>
      </x:c>
      <x:c r="U74" s="23" t="str">
        <x:v>bullish</x:v>
      </x:c>
    </x:row>
    <x:row r="75">
      <x:c r="A75" s="23" t="n">
        <x:v>121</x:v>
      </x:c>
      <x:c r="B75" s="23" t="str">
        <x:v>AAOI</x:v>
      </x:c>
      <x:c r="C75" s="53" t="n">
        <x:v>46219.58771990741</x:v>
      </x:c>
      <x:c r="D75" s="23" t="str">
        <x:v>aleabitoreddit</x:v>
      </x:c>
      <x:c r="E75" s="23" t="str">
        <x:v>bearish</x:v>
      </x:c>
      <x:c r="F75" s="34" t="n">
        <x:v>0.9</x:v>
      </x:c>
      <x:c r="G75" s="23" t="str">
        <x:v>auto</x:v>
      </x:c>
      <x:c r="H75" s="23" t="str">
        <x:v>vote 변경</x:v>
      </x:c>
      <x:c r="I75" s="23" t="str">
        <x:v>positive</x:v>
      </x:c>
      <x:c r="J75" s="23" t="n">
        <x:v>1</x:v>
      </x:c>
      <x:c r="K75" s="23" t="n">
        <x:v>1</x:v>
      </x:c>
      <x:c r="L75" s="23" t="n">
        <x:v>2</x:v>
      </x:c>
      <x:c r="M75" s="68" t="n">
        <x:v>0.5</x:v>
      </x:c>
      <x:c r="N75" s="68" t="n">
        <x:v>0.5</x:v>
      </x:c>
      <x:c r="O75" s="23" t="str">
        <x:v>mixed</x:v>
      </x:c>
      <x:c r="P75" s="23" t="str">
        <x:v>exit</x:v>
      </x:c>
      <x:c r="Q75" s="23" t="str">
        <x:v>—</x:v>
      </x:c>
      <x:c r="R75" s="23" t="str">
        <x:v>—</x:v>
      </x:c>
      <x:c r="S75" s="23" t="str">
        <x:v>—</x:v>
      </x:c>
      <x:c r="T75" s="23" t="str">
        <x:v>bullish</x:v>
      </x:c>
      <x:c r="U75" s="23" t="str">
        <x:v>bearish</x:v>
      </x:c>
    </x:row>
    <x:row r="76">
      <x:c r="A76" s="23" t="n">
        <x:v>150</x:v>
      </x:c>
      <x:c r="B76" s="23" t="str">
        <x:v>AAOI</x:v>
      </x:c>
      <x:c r="C76" s="53" t="n">
        <x:v>46219.64952546296</x:v>
      </x:c>
      <x:c r="D76" s="23" t="str">
        <x:v>aleabitoreddit</x:v>
      </x:c>
      <x:c r="E76" s="23" t="str">
        <x:v>bearish</x:v>
      </x:c>
      <x:c r="F76" s="34" t="n">
        <x:v>0.8</x:v>
      </x:c>
      <x:c r="G76" s="23" t="str">
        <x:v>auto</x:v>
      </x:c>
      <x:c r="H76" s="23" t="str">
        <x:v>vote 변경</x:v>
      </x:c>
      <x:c r="I76" s="23" t="str">
        <x:v>mixed</x:v>
      </x:c>
      <x:c r="J76" s="23" t="n">
        <x:v>1</x:v>
      </x:c>
      <x:c r="K76" s="23" t="n">
        <x:v>1</x:v>
      </x:c>
      <x:c r="L76" s="23" t="n">
        <x:v>2</x:v>
      </x:c>
      <x:c r="M76" s="68" t="n">
        <x:v>0.5</x:v>
      </x:c>
      <x:c r="N76" s="68" t="n">
        <x:v>0.5</x:v>
      </x:c>
      <x:c r="O76" s="23" t="str">
        <x:v>mixed</x:v>
      </x:c>
      <x:c r="P76" s="23" t="str">
        <x:v>none</x:v>
      </x:c>
      <x:c r="Q76" s="23" t="str">
        <x:v>—</x:v>
      </x:c>
      <x:c r="R76" s="23" t="str">
        <x:v>—</x:v>
      </x:c>
      <x:c r="S76" s="23" t="str">
        <x:v>—</x:v>
      </x:c>
      <x:c r="T76" s="23" t="str">
        <x:v>bullish</x:v>
      </x:c>
      <x:c r="U76" s="23" t="str">
        <x:v>bearish</x:v>
      </x:c>
    </x:row>
    <x:row r="77">
      <x:c r="A77" s="23" t="n">
        <x:v>1241</x:v>
      </x:c>
      <x:c r="B77" s="23" t="str">
        <x:v>AAOI</x:v>
      </x:c>
      <x:c r="C77" s="53" t="n">
        <x:v>46219.91024305556</x:v>
      </x:c>
      <x:c r="D77" s="23" t="str">
        <x:v>Brian_Stoffel_</x:v>
      </x:c>
      <x:c r="E77" s="23" t="str">
        <x:v>neutral</x:v>
      </x:c>
      <x:c r="F77" s="34" t="n">
        <x:v>0</x:v>
      </x:c>
      <x:c r="G77" s="23" t="str">
        <x:v>needs_review</x:v>
      </x:c>
      <x:c r="H77" s="23" t="str">
        <x:v>근거만</x:v>
      </x:c>
      <x:c r="I77" s="23" t="str">
        <x:v>mixed</x:v>
      </x:c>
      <x:c r="J77" s="23" t="n">
        <x:v>1</x:v>
      </x:c>
      <x:c r="K77" s="23" t="n">
        <x:v>1</x:v>
      </x:c>
      <x:c r="L77" s="23" t="n">
        <x:v>2</x:v>
      </x:c>
      <x:c r="M77" s="68" t="n">
        <x:v>0.5</x:v>
      </x:c>
      <x:c r="N77" s="68" t="n">
        <x:v>0.5</x:v>
      </x:c>
      <x:c r="O77" s="23" t="str">
        <x:v>mixed</x:v>
      </x:c>
      <x:c r="P77" s="23" t="str">
        <x:v>none</x:v>
      </x:c>
      <x:c r="Q77" s="23" t="str">
        <x:v>—</x:v>
      </x:c>
      <x:c r="R77" s="23" t="str">
        <x:v>—</x:v>
      </x:c>
      <x:c r="S77" s="23" t="str">
        <x:v>—</x:v>
      </x:c>
      <x:c r="T77" s="23" t="str">
        <x:v>bullish</x:v>
      </x:c>
      <x:c r="U77" s="23" t="str">
        <x:v>bearish</x:v>
      </x:c>
    </x:row>
    <x:row r="78">
      <x:c r="A78" s="23" t="n">
        <x:v>142</x:v>
      </x:c>
      <x:c r="B78" s="23" t="str">
        <x:v>AAOI</x:v>
      </x:c>
      <x:c r="C78" s="53" t="n">
        <x:v>46220.61990740741</x:v>
      </x:c>
      <x:c r="D78" s="23" t="str">
        <x:v>aleabitoreddit</x:v>
      </x:c>
      <x:c r="E78" s="23" t="str">
        <x:v>bullish</x:v>
      </x:c>
      <x:c r="F78" s="34" t="n">
        <x:v>0.9</x:v>
      </x:c>
      <x:c r="G78" s="23" t="str">
        <x:v>auto</x:v>
      </x:c>
      <x:c r="H78" s="23" t="str">
        <x:v>vote 변경</x:v>
      </x:c>
      <x:c r="I78" s="23" t="str">
        <x:v>mixed</x:v>
      </x:c>
      <x:c r="J78" s="23" t="n">
        <x:v>2</x:v>
      </x:c>
      <x:c r="K78" s="23" t="n">
        <x:v>0</x:v>
      </x:c>
      <x:c r="L78" s="23" t="n">
        <x:v>2</x:v>
      </x:c>
      <x:c r="M78" s="68" t="n">
        <x:v>1</x:v>
      </x:c>
      <x:c r="N78" s="68" t="n">
        <x:v>0</x:v>
      </x:c>
      <x:c r="O78" s="23" t="str">
        <x:v>positive</x:v>
      </x:c>
      <x:c r="P78" s="23" t="str">
        <x:v>entry</x:v>
      </x:c>
      <x:c r="Q78" s="23" t="str">
        <x:v>—</x:v>
      </x:c>
      <x:c r="R78" s="23" t="str">
        <x:v>—</x:v>
      </x:c>
      <x:c r="S78" s="23" t="str">
        <x:v>—</x:v>
      </x:c>
      <x:c r="T78" s="23" t="str">
        <x:v>bullish</x:v>
      </x:c>
      <x:c r="U78" s="23" t="str">
        <x:v>bullish</x:v>
      </x:c>
    </x:row>
    <x:row r="79">
      <x:c r="A79" s="23" t="n">
        <x:v>5</x:v>
      </x:c>
      <x:c r="B79" s="23" t="str">
        <x:v>AAOI</x:v>
      </x:c>
      <x:c r="C79" s="53" t="n">
        <x:v>46220.97556712963</x:v>
      </x:c>
      <x:c r="D79" s="23" t="str">
        <x:v>aleabitoreddit</x:v>
      </x:c>
      <x:c r="E79" s="23" t="str">
        <x:v>bullish</x:v>
      </x:c>
      <x:c r="F79" s="34" t="n">
        <x:v>0.8</x:v>
      </x:c>
      <x:c r="G79" s="23" t="str">
        <x:v>auto</x:v>
      </x:c>
      <x:c r="H79" s="23" t="str">
        <x:v>vote 변경</x:v>
      </x:c>
      <x:c r="I79" s="23" t="str">
        <x:v>positive</x:v>
      </x:c>
      <x:c r="J79" s="23" t="n">
        <x:v>2</x:v>
      </x:c>
      <x:c r="K79" s="23" t="n">
        <x:v>0</x:v>
      </x:c>
      <x:c r="L79" s="23" t="n">
        <x:v>2</x:v>
      </x:c>
      <x:c r="M79" s="68" t="n">
        <x:v>1</x:v>
      </x:c>
      <x:c r="N79" s="68" t="n">
        <x:v>0</x:v>
      </x:c>
      <x:c r="O79" s="23" t="str">
        <x:v>positive</x:v>
      </x:c>
      <x:c r="P79" s="23" t="str">
        <x:v>none</x:v>
      </x:c>
      <x:c r="Q79" s="23" t="str">
        <x:v>—</x:v>
      </x:c>
      <x:c r="R79" s="23" t="str">
        <x:v>—</x:v>
      </x:c>
      <x:c r="S79" s="23" t="str">
        <x:v>—</x:v>
      </x:c>
      <x:c r="T79" s="23" t="str">
        <x:v>bullish</x:v>
      </x:c>
      <x:c r="U79" s="23" t="str">
        <x:v>bullish</x:v>
      </x:c>
    </x:row>
    <x:row r="80">
      <x:c r="A80" s="23" t="n">
        <x:v>6</x:v>
      </x:c>
      <x:c r="B80" s="23" t="str">
        <x:v>AAOI</x:v>
      </x:c>
      <x:c r="C80" s="53" t="n">
        <x:v>46221.011041666665</x:v>
      </x:c>
      <x:c r="D80" s="23" t="str">
        <x:v>aleabitoreddit</x:v>
      </x:c>
      <x:c r="E80" s="23" t="str">
        <x:v>bullish</x:v>
      </x:c>
      <x:c r="F80" s="34" t="n">
        <x:v>0.8</x:v>
      </x:c>
      <x:c r="G80" s="23" t="str">
        <x:v>auto</x:v>
      </x:c>
      <x:c r="H80" s="23" t="str">
        <x:v>vote 변경</x:v>
      </x:c>
      <x:c r="I80" s="23" t="str">
        <x:v>positive</x:v>
      </x:c>
      <x:c r="J80" s="23" t="n">
        <x:v>2</x:v>
      </x:c>
      <x:c r="K80" s="23" t="n">
        <x:v>0</x:v>
      </x:c>
      <x:c r="L80" s="23" t="n">
        <x:v>2</x:v>
      </x:c>
      <x:c r="M80" s="68" t="n">
        <x:v>1</x:v>
      </x:c>
      <x:c r="N80" s="68" t="n">
        <x:v>0</x:v>
      </x:c>
      <x:c r="O80" s="23" t="str">
        <x:v>positive</x:v>
      </x:c>
      <x:c r="P80" s="23" t="str">
        <x:v>none</x:v>
      </x:c>
      <x:c r="Q80" s="23" t="str">
        <x:v>—</x:v>
      </x:c>
      <x:c r="R80" s="23" t="str">
        <x:v>—</x:v>
      </x:c>
      <x:c r="S80" s="23" t="str">
        <x:v>—</x:v>
      </x:c>
      <x:c r="T80" s="23" t="str">
        <x:v>bullish</x:v>
      </x:c>
      <x:c r="U80" s="23" t="str">
        <x:v>bullish</x:v>
      </x:c>
    </x:row>
    <x:row r="81">
      <x:c r="A81" s="23" t="n">
        <x:v>1272</x:v>
      </x:c>
      <x:c r="B81" s="23" t="str">
        <x:v>AAOI</x:v>
      </x:c>
      <x:c r="C81" s="53" t="n">
        <x:v>46222.59247685185</x:v>
      </x:c>
      <x:c r="D81" s="23" t="str">
        <x:v>StockSavvyShay</x:v>
      </x:c>
      <x:c r="E81" s="23" t="str">
        <x:v>neutral</x:v>
      </x:c>
      <x:c r="F81" s="34" t="n">
        <x:v>0.5</x:v>
      </x:c>
      <x:c r="G81" s="23" t="str">
        <x:v>needs_review</x:v>
      </x:c>
      <x:c r="H81" s="23" t="str">
        <x:v>근거만</x:v>
      </x:c>
      <x:c r="I81" s="23" t="str">
        <x:v>positive</x:v>
      </x:c>
      <x:c r="J81" s="23" t="n">
        <x:v>2</x:v>
      </x:c>
      <x:c r="K81" s="23" t="n">
        <x:v>0</x:v>
      </x:c>
      <x:c r="L81" s="23" t="n">
        <x:v>2</x:v>
      </x:c>
      <x:c r="M81" s="68" t="n">
        <x:v>1</x:v>
      </x:c>
      <x:c r="N81" s="68" t="n">
        <x:v>0</x:v>
      </x:c>
      <x:c r="O81" s="23" t="str">
        <x:v>positive</x:v>
      </x:c>
      <x:c r="P81" s="23" t="str">
        <x:v>none</x:v>
      </x:c>
      <x:c r="Q81" s="23" t="str">
        <x:v>—</x:v>
      </x:c>
      <x:c r="R81" s="23" t="str">
        <x:v>—</x:v>
      </x:c>
      <x:c r="S81" s="23" t="str">
        <x:v>—</x:v>
      </x:c>
      <x:c r="T81" s="23" t="str">
        <x:v>bullish</x:v>
      </x:c>
      <x:c r="U81" s="23" t="str">
        <x:v>bullish</x:v>
      </x:c>
    </x:row>
    <x:row r="82">
      <x:c r="A82" s="23" t="n">
        <x:v>1429</x:v>
      </x:c>
      <x:c r="B82" s="23" t="str">
        <x:v>AAOI</x:v>
      </x:c>
      <x:c r="C82" s="53" t="n">
        <x:v>46224.34239583334</x:v>
      </x:c>
      <x:c r="D82" s="23" t="str">
        <x:v>aleabitoreddit</x:v>
      </x:c>
      <x:c r="E82" s="23" t="str">
        <x:v>bullish</x:v>
      </x:c>
      <x:c r="F82" s="34" t="n">
        <x:v>0.7</x:v>
      </x:c>
      <x:c r="G82" s="23" t="str">
        <x:v>needs_review</x:v>
      </x:c>
      <x:c r="H82" s="23" t="str">
        <x:v>근거만</x:v>
      </x:c>
      <x:c r="I82" s="23" t="str">
        <x:v>positive</x:v>
      </x:c>
      <x:c r="J82" s="23" t="n">
        <x:v>2</x:v>
      </x:c>
      <x:c r="K82" s="23" t="n">
        <x:v>0</x:v>
      </x:c>
      <x:c r="L82" s="23" t="n">
        <x:v>2</x:v>
      </x:c>
      <x:c r="M82" s="68" t="n">
        <x:v>1</x:v>
      </x:c>
      <x:c r="N82" s="68" t="n">
        <x:v>0</x:v>
      </x:c>
      <x:c r="O82" s="23" t="str">
        <x:v>positive</x:v>
      </x:c>
      <x:c r="P82" s="23" t="str">
        <x:v>none</x:v>
      </x:c>
      <x:c r="Q82" s="23" t="str">
        <x:v>—</x:v>
      </x:c>
      <x:c r="R82" s="23" t="str">
        <x:v>—</x:v>
      </x:c>
      <x:c r="S82" s="23" t="str">
        <x:v>—</x:v>
      </x:c>
      <x:c r="T82" s="23" t="str">
        <x:v>bullish</x:v>
      </x:c>
      <x:c r="U82" s="23" t="str">
        <x:v>bullish</x:v>
      </x:c>
    </x:row>
    <x:row r="83">
      <x:c r="A83" s="23" t="n">
        <x:v>1441</x:v>
      </x:c>
      <x:c r="B83" s="23" t="str">
        <x:v>AAOI</x:v>
      </x:c>
      <x:c r="C83" s="53" t="n">
        <x:v>46224.40383101852</x:v>
      </x:c>
      <x:c r="D83" s="23" t="str">
        <x:v>aleabitoreddit</x:v>
      </x:c>
      <x:c r="E83" s="23" t="str">
        <x:v>neutral</x:v>
      </x:c>
      <x:c r="F83" s="34" t="n">
        <x:v>0.5</x:v>
      </x:c>
      <x:c r="G83" s="23" t="str">
        <x:v>needs_review</x:v>
      </x:c>
      <x:c r="H83" s="23" t="str">
        <x:v>근거만</x:v>
      </x:c>
      <x:c r="I83" s="23" t="str">
        <x:v>positive</x:v>
      </x:c>
      <x:c r="J83" s="23" t="n">
        <x:v>2</x:v>
      </x:c>
      <x:c r="K83" s="23" t="n">
        <x:v>0</x:v>
      </x:c>
      <x:c r="L83" s="23" t="n">
        <x:v>2</x:v>
      </x:c>
      <x:c r="M83" s="68" t="n">
        <x:v>1</x:v>
      </x:c>
      <x:c r="N83" s="68" t="n">
        <x:v>0</x:v>
      </x:c>
      <x:c r="O83" s="23" t="str">
        <x:v>positive</x:v>
      </x:c>
      <x:c r="P83" s="23" t="str">
        <x:v>none</x:v>
      </x:c>
      <x:c r="Q83" s="23" t="str">
        <x:v>—</x:v>
      </x:c>
      <x:c r="R83" s="23" t="str">
        <x:v>—</x:v>
      </x:c>
      <x:c r="S83" s="23" t="str">
        <x:v>—</x:v>
      </x:c>
      <x:c r="T83" s="23" t="str">
        <x:v>bullish</x:v>
      </x:c>
      <x:c r="U83" s="23" t="str">
        <x:v>bullish</x:v>
      </x:c>
    </x:row>
    <x:row r="84">
      <x:c r="A84" s="23" t="n">
        <x:v>1815</x:v>
      </x:c>
      <x:c r="B84" s="23" t="str">
        <x:v>AAOI</x:v>
      </x:c>
      <x:c r="C84" s="53" t="n">
        <x:v>46227.008101851854</x:v>
      </x:c>
      <x:c r="D84" s="23" t="str">
        <x:v>aleabitoreddit</x:v>
      </x:c>
      <x:c r="E84" s="23" t="str">
        <x:v>neutral</x:v>
      </x:c>
      <x:c r="F84" s="34" t="n">
        <x:v>0.6</x:v>
      </x:c>
      <x:c r="G84" s="23" t="str">
        <x:v>needs_review</x:v>
      </x:c>
      <x:c r="H84" s="23" t="str">
        <x:v>근거만</x:v>
      </x:c>
      <x:c r="I84" s="23" t="str">
        <x:v>positive</x:v>
      </x:c>
      <x:c r="J84" s="23" t="n">
        <x:v>2</x:v>
      </x:c>
      <x:c r="K84" s="23" t="n">
        <x:v>0</x:v>
      </x:c>
      <x:c r="L84" s="23" t="n">
        <x:v>2</x:v>
      </x:c>
      <x:c r="M84" s="68" t="n">
        <x:v>1</x:v>
      </x:c>
      <x:c r="N84" s="68" t="n">
        <x:v>0</x:v>
      </x:c>
      <x:c r="O84" s="23" t="str">
        <x:v>positive</x:v>
      </x:c>
      <x:c r="P84" s="23" t="str">
        <x:v>none</x:v>
      </x:c>
      <x:c r="Q84" s="23" t="str">
        <x:v>—</x:v>
      </x:c>
      <x:c r="R84" s="23" t="str">
        <x:v>—</x:v>
      </x:c>
      <x:c r="S84" s="23" t="str">
        <x:v>—</x:v>
      </x:c>
      <x:c r="T84" s="23" t="str">
        <x:v>bullish</x:v>
      </x:c>
      <x:c r="U84" s="23" t="str">
        <x:v>bullish</x:v>
      </x:c>
    </x:row>
    <x:row r="85">
      <x:c r="A85" s="23" t="n">
        <x:v>1819</x:v>
      </x:c>
      <x:c r="B85" s="23" t="str">
        <x:v>AAOI</x:v>
      </x:c>
      <x:c r="C85" s="53" t="n">
        <x:v>46227.03760416667</x:v>
      </x:c>
      <x:c r="D85" s="23" t="str">
        <x:v>aleabitoreddit</x:v>
      </x:c>
      <x:c r="E85" s="23" t="str">
        <x:v>neutral</x:v>
      </x:c>
      <x:c r="F85" s="34" t="n">
        <x:v>0.7</x:v>
      </x:c>
      <x:c r="G85" s="23" t="str">
        <x:v>needs_review</x:v>
      </x:c>
      <x:c r="H85" s="23" t="str">
        <x:v>근거만</x:v>
      </x:c>
      <x:c r="I85" s="23" t="str">
        <x:v>positive</x:v>
      </x:c>
      <x:c r="J85" s="23" t="n">
        <x:v>2</x:v>
      </x:c>
      <x:c r="K85" s="23" t="n">
        <x:v>0</x:v>
      </x:c>
      <x:c r="L85" s="23" t="n">
        <x:v>2</x:v>
      </x:c>
      <x:c r="M85" s="68" t="n">
        <x:v>1</x:v>
      </x:c>
      <x:c r="N85" s="68" t="n">
        <x:v>0</x:v>
      </x:c>
      <x:c r="O85" s="23" t="str">
        <x:v>positive</x:v>
      </x:c>
      <x:c r="P85" s="23" t="str">
        <x:v>none</x:v>
      </x:c>
      <x:c r="Q85" s="23" t="str">
        <x:v>—</x:v>
      </x:c>
      <x:c r="R85" s="23" t="str">
        <x:v>—</x:v>
      </x:c>
      <x:c r="S85" s="23" t="str">
        <x:v>—</x:v>
      </x:c>
      <x:c r="T85" s="23" t="str">
        <x:v>bullish</x:v>
      </x:c>
      <x:c r="U85" s="23" t="str">
        <x:v>bullish</x:v>
      </x:c>
    </x:row>
    <x:row r="86">
      <x:c r="A86" s="23" t="n">
        <x:v>1946</x:v>
      </x:c>
      <x:c r="B86" s="23" t="str">
        <x:v>AAOI</x:v>
      </x:c>
      <x:c r="C86" s="53" t="n">
        <x:v>46228.572175925925</x:v>
      </x:c>
      <x:c r="D86" s="23" t="str">
        <x:v>StockSavvyShay</x:v>
      </x:c>
      <x:c r="E86" s="23" t="str">
        <x:v>neutral</x:v>
      </x:c>
      <x:c r="F86" s="34" t="n">
        <x:v>0</x:v>
      </x:c>
      <x:c r="G86" s="23" t="str">
        <x:v>needs_review</x:v>
      </x:c>
      <x:c r="H86" s="23" t="str">
        <x:v>근거만</x:v>
      </x:c>
      <x:c r="I86" s="23" t="str">
        <x:v>positive</x:v>
      </x:c>
      <x:c r="J86" s="23" t="n">
        <x:v>2</x:v>
      </x:c>
      <x:c r="K86" s="23" t="n">
        <x:v>0</x:v>
      </x:c>
      <x:c r="L86" s="23" t="n">
        <x:v>2</x:v>
      </x:c>
      <x:c r="M86" s="68" t="n">
        <x:v>1</x:v>
      </x:c>
      <x:c r="N86" s="68" t="n">
        <x:v>0</x:v>
      </x:c>
      <x:c r="O86" s="23" t="str">
        <x:v>positive</x:v>
      </x:c>
      <x:c r="P86" s="23" t="str">
        <x:v>none</x:v>
      </x:c>
      <x:c r="Q86" s="23" t="str">
        <x:v>—</x:v>
      </x:c>
      <x:c r="R86" s="23" t="str">
        <x:v>—</x:v>
      </x:c>
      <x:c r="S86" s="23" t="str">
        <x:v>—</x:v>
      </x:c>
      <x:c r="T86" s="23" t="str">
        <x:v>bullish</x:v>
      </x:c>
      <x:c r="U86" s="23" t="str">
        <x:v>bullish</x:v>
      </x:c>
    </x:row>
    <x:row r="87">
      <x:c r="A87" s="23" t="n">
        <x:v>1959</x:v>
      </x:c>
      <x:c r="B87" s="23" t="str">
        <x:v>AAOI</x:v>
      </x:c>
      <x:c r="C87" s="53" t="n">
        <x:v>46228.60265046296</x:v>
      </x:c>
      <x:c r="D87" s="23" t="str">
        <x:v>StockSavvyShay</x:v>
      </x:c>
      <x:c r="E87" s="23" t="str">
        <x:v>neutral</x:v>
      </x:c>
      <x:c r="F87" s="34" t="n">
        <x:v>1</x:v>
      </x:c>
      <x:c r="G87" s="23" t="str">
        <x:v>needs_review</x:v>
      </x:c>
      <x:c r="H87" s="23" t="str">
        <x:v>근거만</x:v>
      </x:c>
      <x:c r="I87" s="23" t="str">
        <x:v>positive</x:v>
      </x:c>
      <x:c r="J87" s="23" t="n">
        <x:v>2</x:v>
      </x:c>
      <x:c r="K87" s="23" t="n">
        <x:v>0</x:v>
      </x:c>
      <x:c r="L87" s="23" t="n">
        <x:v>2</x:v>
      </x:c>
      <x:c r="M87" s="68" t="n">
        <x:v>1</x:v>
      </x:c>
      <x:c r="N87" s="68" t="n">
        <x:v>0</x:v>
      </x:c>
      <x:c r="O87" s="23" t="str">
        <x:v>positive</x:v>
      </x:c>
      <x:c r="P87" s="23" t="str">
        <x:v>none</x:v>
      </x:c>
      <x:c r="Q87" s="23" t="str">
        <x:v>—</x:v>
      </x:c>
      <x:c r="R87" s="23" t="str">
        <x:v>—</x:v>
      </x:c>
      <x:c r="S87" s="23" t="str">
        <x:v>—</x:v>
      </x:c>
      <x:c r="T87" s="23" t="str">
        <x:v>bullish</x:v>
      </x:c>
      <x:c r="U87" s="23" t="str">
        <x:v>bullish</x:v>
      </x:c>
    </x:row>
    <x:row r="88">
      <x:c r="A88" s="23" t="n">
        <x:v>2057</x:v>
      </x:c>
      <x:c r="B88" s="23" t="str">
        <x:v>AAOI</x:v>
      </x:c>
      <x:c r="C88" s="53" t="n">
        <x:v>46229.584965277776</x:v>
      </x:c>
      <x:c r="D88" s="23" t="str">
        <x:v>StockSavvyShay</x:v>
      </x:c>
      <x:c r="E88" s="23" t="str">
        <x:v>bullish</x:v>
      </x:c>
      <x:c r="F88" s="34" t="n">
        <x:v>0.8</x:v>
      </x:c>
      <x:c r="G88" s="23" t="str">
        <x:v>auto</x:v>
      </x:c>
      <x:c r="H88" s="23" t="str">
        <x:v>vote 변경</x:v>
      </x:c>
      <x:c r="I88" s="23" t="str">
        <x:v>positive</x:v>
      </x:c>
      <x:c r="J88" s="23" t="n">
        <x:v>2</x:v>
      </x:c>
      <x:c r="K88" s="23" t="n">
        <x:v>0</x:v>
      </x:c>
      <x:c r="L88" s="23" t="n">
        <x:v>2</x:v>
      </x:c>
      <x:c r="M88" s="68" t="n">
        <x:v>1</x:v>
      </x:c>
      <x:c r="N88" s="68" t="n">
        <x:v>0</x:v>
      </x:c>
      <x:c r="O88" s="23" t="str">
        <x:v>positive</x:v>
      </x:c>
      <x:c r="P88" s="23" t="str">
        <x:v>none</x:v>
      </x:c>
      <x:c r="Q88" s="23" t="str">
        <x:v>—</x:v>
      </x:c>
      <x:c r="R88" s="23" t="str">
        <x:v>—</x:v>
      </x:c>
      <x:c r="S88" s="23" t="str">
        <x:v>—</x:v>
      </x:c>
      <x:c r="T88" s="23" t="str">
        <x:v>bullish</x:v>
      </x:c>
      <x:c r="U88" s="23" t="str">
        <x:v>bullish</x:v>
      </x:c>
    </x:row>
    <x:row r="89">
      <x:c r="A89" s="23" t="n">
        <x:v>2073</x:v>
      </x:c>
      <x:c r="B89" s="23" t="str">
        <x:v>AAOI</x:v>
      </x:c>
      <x:c r="C89" s="53" t="n">
        <x:v>46229.6697337963</x:v>
      </x:c>
      <x:c r="D89" s="23" t="str">
        <x:v>StockSavvyShay</x:v>
      </x:c>
      <x:c r="E89" s="23" t="str">
        <x:v>bullish</x:v>
      </x:c>
      <x:c r="F89" s="34" t="n">
        <x:v>0.8</x:v>
      </x:c>
      <x:c r="G89" s="23" t="str">
        <x:v>auto</x:v>
      </x:c>
      <x:c r="H89" s="23" t="str">
        <x:v>vote 변경</x:v>
      </x:c>
      <x:c r="I89" s="23" t="str">
        <x:v>positive</x:v>
      </x:c>
      <x:c r="J89" s="23" t="n">
        <x:v>2</x:v>
      </x:c>
      <x:c r="K89" s="23" t="n">
        <x:v>0</x:v>
      </x:c>
      <x:c r="L89" s="23" t="n">
        <x:v>2</x:v>
      </x:c>
      <x:c r="M89" s="68" t="n">
        <x:v>1</x:v>
      </x:c>
      <x:c r="N89" s="68" t="n">
        <x:v>0</x:v>
      </x:c>
      <x:c r="O89" s="23" t="str">
        <x:v>positive</x:v>
      </x:c>
      <x:c r="P89" s="23" t="str">
        <x:v>none</x:v>
      </x:c>
      <x:c r="Q89" s="23" t="str">
        <x:v>—</x:v>
      </x:c>
      <x:c r="R89" s="23" t="str">
        <x:v>—</x:v>
      </x:c>
      <x:c r="S89" s="23" t="str">
        <x:v>—</x:v>
      </x:c>
      <x:c r="T89" s="23" t="str">
        <x:v>bullish</x:v>
      </x:c>
      <x:c r="U89" s="23" t="str">
        <x:v>bullish</x:v>
      </x:c>
    </x:row>
    <x:row r="90">
      <x:c r="A90" s="23" t="n">
        <x:v>2243</x:v>
      </x:c>
      <x:c r="B90" s="23" t="str">
        <x:v>AAOI</x:v>
      </x:c>
      <x:c r="C90" s="53" t="n">
        <x:v>46231.78460648148</x:v>
      </x:c>
      <x:c r="D90" s="23" t="str">
        <x:v>StockSavvyShay</x:v>
      </x:c>
      <x:c r="E90" s="23" t="str">
        <x:v>neutral</x:v>
      </x:c>
      <x:c r="F90" s="34" t="n">
        <x:v>0</x:v>
      </x:c>
      <x:c r="G90" s="23" t="str">
        <x:v>needs_review</x:v>
      </x:c>
      <x:c r="H90" s="23" t="str">
        <x:v>근거만</x:v>
      </x:c>
      <x:c r="I90" s="23" t="str">
        <x:v>positive</x:v>
      </x:c>
      <x:c r="J90" s="23" t="n">
        <x:v>2</x:v>
      </x:c>
      <x:c r="K90" s="23" t="n">
        <x:v>0</x:v>
      </x:c>
      <x:c r="L90" s="23" t="n">
        <x:v>2</x:v>
      </x:c>
      <x:c r="M90" s="68" t="n">
        <x:v>1</x:v>
      </x:c>
      <x:c r="N90" s="68" t="n">
        <x:v>0</x:v>
      </x:c>
      <x:c r="O90" s="23" t="str">
        <x:v>positive</x:v>
      </x:c>
      <x:c r="P90" s="23" t="str">
        <x:v>none</x:v>
      </x:c>
      <x:c r="Q90" s="23" t="str">
        <x:v>—</x:v>
      </x:c>
      <x:c r="R90" s="23" t="str">
        <x:v>—</x:v>
      </x:c>
      <x:c r="S90" s="23" t="str">
        <x:v>—</x:v>
      </x:c>
      <x:c r="T90" s="23" t="str">
        <x:v>bullish</x:v>
      </x:c>
      <x:c r="U90" s="23" t="str">
        <x:v>bullish</x:v>
      </x:c>
    </x:row>
    <x:row r="91">
      <x:c r="A91" s="23" t="n">
        <x:v>2294</x:v>
      </x:c>
      <x:c r="B91" s="23" t="str">
        <x:v>AAOI</x:v>
      </x:c>
      <x:c r="C91" s="53" t="n">
        <x:v>46231.93434027778</x:v>
      </x:c>
      <x:c r="D91" s="23" t="str">
        <x:v>aleabitoreddit</x:v>
      </x:c>
      <x:c r="E91" s="23" t="str">
        <x:v>bullish</x:v>
      </x:c>
      <x:c r="F91" s="34" t="n">
        <x:v>0.9</x:v>
      </x:c>
      <x:c r="G91" s="23" t="str">
        <x:v>auto</x:v>
      </x:c>
      <x:c r="H91" s="23" t="str">
        <x:v>vote 변경</x:v>
      </x:c>
      <x:c r="I91" s="23" t="str">
        <x:v>positive</x:v>
      </x:c>
      <x:c r="J91" s="23" t="n">
        <x:v>2</x:v>
      </x:c>
      <x:c r="K91" s="23" t="n">
        <x:v>0</x:v>
      </x:c>
      <x:c r="L91" s="23" t="n">
        <x:v>2</x:v>
      </x:c>
      <x:c r="M91" s="68" t="n">
        <x:v>1</x:v>
      </x:c>
      <x:c r="N91" s="68" t="n">
        <x:v>0</x:v>
      </x:c>
      <x:c r="O91" s="23" t="str">
        <x:v>positive</x:v>
      </x:c>
      <x:c r="P91" s="23" t="str">
        <x:v>none</x:v>
      </x:c>
      <x:c r="Q91" s="23" t="str">
        <x:v>—</x:v>
      </x:c>
      <x:c r="R91" s="23" t="str">
        <x:v>—</x:v>
      </x:c>
      <x:c r="S91" s="23" t="str">
        <x:v>—</x:v>
      </x:c>
      <x:c r="T91" s="23" t="str">
        <x:v>bullish</x:v>
      </x:c>
      <x:c r="U91" s="23" t="str">
        <x:v>bullish</x:v>
      </x:c>
    </x:row>
    <x:row r="92">
      <x:c r="A92" s="23" t="n">
        <x:v>2357</x:v>
      </x:c>
      <x:c r="B92" s="23" t="str">
        <x:v>AAOI</x:v>
      </x:c>
      <x:c r="C92" s="53" t="n">
        <x:v>46232.7328125</x:v>
      </x:c>
      <x:c r="D92" s="23" t="str">
        <x:v>aleabitoreddit</x:v>
      </x:c>
      <x:c r="E92" s="23" t="str">
        <x:v>bearish</x:v>
      </x:c>
      <x:c r="F92" s="34" t="n">
        <x:v>0.8</x:v>
      </x:c>
      <x:c r="G92" s="23" t="str">
        <x:v>auto</x:v>
      </x:c>
      <x:c r="H92" s="23" t="str">
        <x:v>vote 변경</x:v>
      </x:c>
      <x:c r="I92" s="23" t="str">
        <x:v>positive</x:v>
      </x:c>
      <x:c r="J92" s="23" t="n">
        <x:v>1</x:v>
      </x:c>
      <x:c r="K92" s="23" t="n">
        <x:v>1</x:v>
      </x:c>
      <x:c r="L92" s="23" t="n">
        <x:v>2</x:v>
      </x:c>
      <x:c r="M92" s="68" t="n">
        <x:v>0.5</x:v>
      </x:c>
      <x:c r="N92" s="68" t="n">
        <x:v>0.5</x:v>
      </x:c>
      <x:c r="O92" s="23" t="str">
        <x:v>mixed</x:v>
      </x:c>
      <x:c r="P92" s="23" t="str">
        <x:v>exit</x:v>
      </x:c>
      <x:c r="Q92" s="23" t="str">
        <x:v>—</x:v>
      </x:c>
      <x:c r="R92" s="23" t="str">
        <x:v>—</x:v>
      </x:c>
      <x:c r="S92" s="23" t="str">
        <x:v>—</x:v>
      </x:c>
      <x:c r="T92" s="23" t="str">
        <x:v>bullish</x:v>
      </x:c>
      <x:c r="U92" s="23" t="str">
        <x:v>bearish</x:v>
      </x:c>
    </x:row>
    <x:row r="93">
      <x:c r="A93" s="23" t="n">
        <x:v>2484</x:v>
      </x:c>
      <x:c r="B93" s="23" t="str">
        <x:v>AAOI</x:v>
      </x:c>
      <x:c r="C93" s="53" t="n">
        <x:v>46233.31025462963</x:v>
      </x:c>
      <x:c r="D93" s="23" t="str">
        <x:v>aleabitoreddit</x:v>
      </x:c>
      <x:c r="E93" s="23" t="str">
        <x:v>bullish</x:v>
      </x:c>
      <x:c r="F93" s="34" t="n">
        <x:v>0.8</x:v>
      </x:c>
      <x:c r="G93" s="23" t="str">
        <x:v>auto</x:v>
      </x:c>
      <x:c r="H93" s="23" t="str">
        <x:v>vote 변경</x:v>
      </x:c>
      <x:c r="I93" s="23" t="str">
        <x:v>mixed</x:v>
      </x:c>
      <x:c r="J93" s="23" t="n">
        <x:v>2</x:v>
      </x:c>
      <x:c r="K93" s="23" t="n">
        <x:v>0</x:v>
      </x:c>
      <x:c r="L93" s="23" t="n">
        <x:v>2</x:v>
      </x:c>
      <x:c r="M93" s="68" t="n">
        <x:v>1</x:v>
      </x:c>
      <x:c r="N93" s="68" t="n">
        <x:v>0</x:v>
      </x:c>
      <x:c r="O93" s="23" t="str">
        <x:v>positive</x:v>
      </x:c>
      <x:c r="P93" s="23" t="str">
        <x:v>entry</x:v>
      </x:c>
      <x:c r="Q93" s="23" t="str">
        <x:v>—</x:v>
      </x:c>
      <x:c r="R93" s="23" t="str">
        <x:v>—</x:v>
      </x:c>
      <x:c r="S93" s="23" t="str">
        <x:v>—</x:v>
      </x:c>
      <x:c r="T93" s="23" t="str">
        <x:v>bullish</x:v>
      </x:c>
      <x:c r="U93" s="23" t="str">
        <x:v>bullish</x:v>
      </x:c>
    </x:row>
    <x:row r="94">
      <x:c r="A94" s="23" t="n">
        <x:v>2741</x:v>
      </x:c>
      <x:c r="B94" s="23" t="str">
        <x:v>AAOI</x:v>
      </x:c>
      <x:c r="C94" s="53" t="n">
        <x:v>46234.81375</x:v>
      </x:c>
      <x:c r="D94" s="23" t="str">
        <x:v>aleabitoreddit</x:v>
      </x:c>
      <x:c r="E94" s="23" t="str">
        <x:v>bullish</x:v>
      </x:c>
      <x:c r="F94" s="34" t="n">
        <x:v>0.9</x:v>
      </x:c>
      <x:c r="G94" s="23" t="str">
        <x:v>auto</x:v>
      </x:c>
      <x:c r="H94" s="23" t="str">
        <x:v>vote 변경</x:v>
      </x:c>
      <x:c r="I94" s="23" t="str">
        <x:v>positive</x:v>
      </x:c>
      <x:c r="J94" s="23" t="n">
        <x:v>2</x:v>
      </x:c>
      <x:c r="K94" s="23" t="n">
        <x:v>0</x:v>
      </x:c>
      <x:c r="L94" s="23" t="n">
        <x:v>2</x:v>
      </x:c>
      <x:c r="M94" s="68" t="n">
        <x:v>1</x:v>
      </x:c>
      <x:c r="N94" s="68" t="n">
        <x:v>0</x:v>
      </x:c>
      <x:c r="O94" s="23" t="str">
        <x:v>positive</x:v>
      </x:c>
      <x:c r="P94" s="23" t="str">
        <x:v>none</x:v>
      </x:c>
      <x:c r="Q94" s="23" t="str">
        <x:v>—</x:v>
      </x:c>
      <x:c r="R94" s="23" t="str">
        <x:v>—</x:v>
      </x:c>
      <x:c r="S94" s="23" t="str">
        <x:v>—</x:v>
      </x:c>
      <x:c r="T94" s="23" t="str">
        <x:v>bullish</x:v>
      </x:c>
      <x:c r="U94" s="23" t="str">
        <x:v>bullish</x:v>
      </x:c>
    </x:row>
    <x:row r="95">
      <x:c r="A95" s="23" t="n">
        <x:v>2747</x:v>
      </x:c>
      <x:c r="B95" s="23" t="str">
        <x:v>AAOI</x:v>
      </x:c>
      <x:c r="C95" s="53" t="n">
        <x:v>46234.83542824074</x:v>
      </x:c>
      <x:c r="D95" s="23" t="str">
        <x:v>aleabitoreddit</x:v>
      </x:c>
      <x:c r="E95" s="23" t="str">
        <x:v>bullish</x:v>
      </x:c>
      <x:c r="F95" s="34" t="n">
        <x:v>0.7</x:v>
      </x:c>
      <x:c r="G95" s="23" t="str">
        <x:v>needs_review</x:v>
      </x:c>
      <x:c r="H95" s="23" t="str">
        <x:v>근거만</x:v>
      </x:c>
      <x:c r="I95" s="23" t="str">
        <x:v>positive</x:v>
      </x:c>
      <x:c r="J95" s="23" t="n">
        <x:v>2</x:v>
      </x:c>
      <x:c r="K95" s="23" t="n">
        <x:v>0</x:v>
      </x:c>
      <x:c r="L95" s="23" t="n">
        <x:v>2</x:v>
      </x:c>
      <x:c r="M95" s="68" t="n">
        <x:v>1</x:v>
      </x:c>
      <x:c r="N95" s="68" t="n">
        <x:v>0</x:v>
      </x:c>
      <x:c r="O95" s="23" t="str">
        <x:v>positive</x:v>
      </x:c>
      <x:c r="P95" s="23" t="str">
        <x:v>none</x:v>
      </x:c>
      <x:c r="Q95" s="23" t="str">
        <x:v>—</x:v>
      </x:c>
      <x:c r="R95" s="23" t="str">
        <x:v>—</x:v>
      </x:c>
      <x:c r="S95" s="23" t="str">
        <x:v>—</x:v>
      </x:c>
      <x:c r="T95" s="23" t="str">
        <x:v>bullish</x:v>
      </x:c>
      <x:c r="U95" s="23" t="str">
        <x:v>bullish</x:v>
      </x:c>
    </x:row>
    <x:row r="96">
      <x:c r="A96" s="23" t="n">
        <x:v>797</x:v>
      </x:c>
      <x:c r="B96" s="23" t="str">
        <x:v>LITE</x:v>
      </x:c>
      <x:c r="C96" s="53" t="n">
        <x:v>46182.49475694444</x:v>
      </x:c>
      <x:c r="D96" s="23" t="str">
        <x:v>aleabitoreddit</x:v>
      </x:c>
      <x:c r="E96" s="23" t="str">
        <x:v>bullish</x:v>
      </x:c>
      <x:c r="F96" s="34" t="n">
        <x:v>0.7</x:v>
      </x:c>
      <x:c r="G96" s="23" t="str">
        <x:v>needs_review</x:v>
      </x:c>
      <x:c r="H96" s="23" t="str">
        <x:v>근거만</x:v>
      </x:c>
      <x:c r="I96" s="23" t="str">
        <x:v>insufficient</x:v>
      </x:c>
      <x:c r="J96" s="23" t="n">
        <x:v>0</x:v>
      </x:c>
      <x:c r="K96" s="23" t="n">
        <x:v>0</x:v>
      </x:c>
      <x:c r="L96" s="23" t="n">
        <x:v>0</x:v>
      </x:c>
      <x:c r="M96" s="68" t="n">
        <x:v>0</x:v>
      </x:c>
      <x:c r="N96" s="68" t="n">
        <x:v>0</x:v>
      </x:c>
      <x:c r="O96" s="23" t="str">
        <x:v>insufficient</x:v>
      </x:c>
      <x:c r="P96" s="23" t="str">
        <x:v>none</x:v>
      </x:c>
      <x:c r="Q96" s="23" t="str">
        <x:v>—</x:v>
      </x:c>
      <x:c r="R96" s="23" t="str">
        <x:v>—</x:v>
      </x:c>
      <x:c r="S96" s="23" t="str">
        <x:v>—</x:v>
      </x:c>
      <x:c r="T96" s="23" t="str">
        <x:v>—</x:v>
      </x:c>
      <x:c r="U96" s="23" t="str">
        <x:v>—</x:v>
      </x:c>
    </x:row>
    <x:row r="97">
      <x:c r="A97" s="23" t="n">
        <x:v>371</x:v>
      </x:c>
      <x:c r="B97" s="23" t="str">
        <x:v>LITE</x:v>
      </x:c>
      <x:c r="C97" s="53" t="n">
        <x:v>46183.06520833333</x:v>
      </x:c>
      <x:c r="D97" s="23" t="str">
        <x:v>aleabitoreddit</x:v>
      </x:c>
      <x:c r="E97" s="23" t="str">
        <x:v>bullish</x:v>
      </x:c>
      <x:c r="F97" s="34" t="n">
        <x:v>0.7</x:v>
      </x:c>
      <x:c r="G97" s="23" t="str">
        <x:v>needs_review</x:v>
      </x:c>
      <x:c r="H97" s="23" t="str">
        <x:v>근거만</x:v>
      </x:c>
      <x:c r="I97" s="23" t="str">
        <x:v>insufficient</x:v>
      </x:c>
      <x:c r="J97" s="23" t="n">
        <x:v>0</x:v>
      </x:c>
      <x:c r="K97" s="23" t="n">
        <x:v>0</x:v>
      </x:c>
      <x:c r="L97" s="23" t="n">
        <x:v>0</x:v>
      </x:c>
      <x:c r="M97" s="68" t="n">
        <x:v>0</x:v>
      </x:c>
      <x:c r="N97" s="68" t="n">
        <x:v>0</x:v>
      </x:c>
      <x:c r="O97" s="23" t="str">
        <x:v>insufficient</x:v>
      </x:c>
      <x:c r="P97" s="23" t="str">
        <x:v>none</x:v>
      </x:c>
      <x:c r="Q97" s="23" t="str">
        <x:v>—</x:v>
      </x:c>
      <x:c r="R97" s="23" t="str">
        <x:v>—</x:v>
      </x:c>
      <x:c r="S97" s="23" t="str">
        <x:v>—</x:v>
      </x:c>
      <x:c r="T97" s="23" t="str">
        <x:v>—</x:v>
      </x:c>
      <x:c r="U97" s="23" t="str">
        <x:v>—</x:v>
      </x:c>
    </x:row>
    <x:row r="98">
      <x:c r="A98" s="23" t="n">
        <x:v>378</x:v>
      </x:c>
      <x:c r="B98" s="23" t="str">
        <x:v>LITE</x:v>
      </x:c>
      <x:c r="C98" s="53" t="n">
        <x:v>46183.187048611115</x:v>
      </x:c>
      <x:c r="D98" s="23" t="str">
        <x:v>aleabitoreddit</x:v>
      </x:c>
      <x:c r="E98" s="23" t="str">
        <x:v>bullish</x:v>
      </x:c>
      <x:c r="F98" s="34" t="n">
        <x:v>0.9</x:v>
      </x:c>
      <x:c r="G98" s="23" t="str">
        <x:v>auto</x:v>
      </x:c>
      <x:c r="H98" s="23" t="str">
        <x:v>vote 변경</x:v>
      </x:c>
      <x:c r="I98" s="23" t="str">
        <x:v>insufficient</x:v>
      </x:c>
      <x:c r="J98" s="23" t="n">
        <x:v>1</x:v>
      </x:c>
      <x:c r="K98" s="23" t="n">
        <x:v>0</x:v>
      </x:c>
      <x:c r="L98" s="23" t="n">
        <x:v>1</x:v>
      </x:c>
      <x:c r="M98" s="68" t="n">
        <x:v>1</x:v>
      </x:c>
      <x:c r="N98" s="68" t="n">
        <x:v>0</x:v>
      </x:c>
      <x:c r="O98" s="23" t="str">
        <x:v>insufficient</x:v>
      </x:c>
      <x:c r="P98" s="23" t="str">
        <x:v>none</x:v>
      </x:c>
      <x:c r="Q98" s="23" t="str">
        <x:v>—</x:v>
      </x:c>
      <x:c r="R98" s="23" t="str">
        <x:v>—</x:v>
      </x:c>
      <x:c r="S98" s="23" t="str">
        <x:v>—</x:v>
      </x:c>
      <x:c r="T98" s="23" t="str">
        <x:v>—</x:v>
      </x:c>
      <x:c r="U98" s="23" t="str">
        <x:v>bullish</x:v>
      </x:c>
    </x:row>
    <x:row r="99">
      <x:c r="A99" s="23" t="n">
        <x:v>388</x:v>
      </x:c>
      <x:c r="B99" s="23" t="str">
        <x:v>LITE</x:v>
      </x:c>
      <x:c r="C99" s="53" t="n">
        <x:v>46183.57288194444</x:v>
      </x:c>
      <x:c r="D99" s="23" t="str">
        <x:v>aleabitoreddit</x:v>
      </x:c>
      <x:c r="E99" s="23" t="str">
        <x:v>bullish</x:v>
      </x:c>
      <x:c r="F99" s="34" t="n">
        <x:v>0.8</x:v>
      </x:c>
      <x:c r="G99" s="23" t="str">
        <x:v>auto</x:v>
      </x:c>
      <x:c r="H99" s="23" t="str">
        <x:v>vote 변경</x:v>
      </x:c>
      <x:c r="I99" s="23" t="str">
        <x:v>insufficient</x:v>
      </x:c>
      <x:c r="J99" s="23" t="n">
        <x:v>1</x:v>
      </x:c>
      <x:c r="K99" s="23" t="n">
        <x:v>0</x:v>
      </x:c>
      <x:c r="L99" s="23" t="n">
        <x:v>1</x:v>
      </x:c>
      <x:c r="M99" s="68" t="n">
        <x:v>1</x:v>
      </x:c>
      <x:c r="N99" s="68" t="n">
        <x:v>0</x:v>
      </x:c>
      <x:c r="O99" s="23" t="str">
        <x:v>insufficient</x:v>
      </x:c>
      <x:c r="P99" s="23" t="str">
        <x:v>none</x:v>
      </x:c>
      <x:c r="Q99" s="23" t="str">
        <x:v>—</x:v>
      </x:c>
      <x:c r="R99" s="23" t="str">
        <x:v>—</x:v>
      </x:c>
      <x:c r="S99" s="23" t="str">
        <x:v>—</x:v>
      </x:c>
      <x:c r="T99" s="23" t="str">
        <x:v>—</x:v>
      </x:c>
      <x:c r="U99" s="23" t="str">
        <x:v>bullish</x:v>
      </x:c>
    </x:row>
    <x:row r="100">
      <x:c r="A100" s="23" t="n">
        <x:v>439</x:v>
      </x:c>
      <x:c r="B100" s="23" t="str">
        <x:v>LITE</x:v>
      </x:c>
      <x:c r="C100" s="53" t="n">
        <x:v>46185.185219907406</x:v>
      </x:c>
      <x:c r="D100" s="23" t="str">
        <x:v>aleabitoreddit</x:v>
      </x:c>
      <x:c r="E100" s="23" t="str">
        <x:v>bullish</x:v>
      </x:c>
      <x:c r="F100" s="34" t="n">
        <x:v>0.9</x:v>
      </x:c>
      <x:c r="G100" s="23" t="str">
        <x:v>auto</x:v>
      </x:c>
      <x:c r="H100" s="23" t="str">
        <x:v>vote 변경</x:v>
      </x:c>
      <x:c r="I100" s="23" t="str">
        <x:v>insufficient</x:v>
      </x:c>
      <x:c r="J100" s="23" t="n">
        <x:v>1</x:v>
      </x:c>
      <x:c r="K100" s="23" t="n">
        <x:v>0</x:v>
      </x:c>
      <x:c r="L100" s="23" t="n">
        <x:v>1</x:v>
      </x:c>
      <x:c r="M100" s="68" t="n">
        <x:v>1</x:v>
      </x:c>
      <x:c r="N100" s="68" t="n">
        <x:v>0</x:v>
      </x:c>
      <x:c r="O100" s="23" t="str">
        <x:v>insufficient</x:v>
      </x:c>
      <x:c r="P100" s="23" t="str">
        <x:v>none</x:v>
      </x:c>
      <x:c r="Q100" s="23" t="str">
        <x:v>—</x:v>
      </x:c>
      <x:c r="R100" s="23" t="str">
        <x:v>—</x:v>
      </x:c>
      <x:c r="S100" s="23" t="str">
        <x:v>—</x:v>
      </x:c>
      <x:c r="T100" s="23" t="str">
        <x:v>—</x:v>
      </x:c>
      <x:c r="U100" s="23" t="str">
        <x:v>bullish</x:v>
      </x:c>
    </x:row>
    <x:row r="101">
      <x:c r="A101" s="23" t="n">
        <x:v>486</x:v>
      </x:c>
      <x:c r="B101" s="23" t="str">
        <x:v>LITE</x:v>
      </x:c>
      <x:c r="C101" s="53" t="n">
        <x:v>46188.08540509259</x:v>
      </x:c>
      <x:c r="D101" s="23" t="str">
        <x:v>aleabitoreddit</x:v>
      </x:c>
      <x:c r="E101" s="23" t="str">
        <x:v>bullish</x:v>
      </x:c>
      <x:c r="F101" s="34" t="n">
        <x:v>0.9</x:v>
      </x:c>
      <x:c r="G101" s="23" t="str">
        <x:v>auto</x:v>
      </x:c>
      <x:c r="H101" s="23" t="str">
        <x:v>vote 변경</x:v>
      </x:c>
      <x:c r="I101" s="23" t="str">
        <x:v>insufficient</x:v>
      </x:c>
      <x:c r="J101" s="23" t="n">
        <x:v>1</x:v>
      </x:c>
      <x:c r="K101" s="23" t="n">
        <x:v>0</x:v>
      </x:c>
      <x:c r="L101" s="23" t="n">
        <x:v>1</x:v>
      </x:c>
      <x:c r="M101" s="68" t="n">
        <x:v>1</x:v>
      </x:c>
      <x:c r="N101" s="68" t="n">
        <x:v>0</x:v>
      </x:c>
      <x:c r="O101" s="23" t="str">
        <x:v>insufficient</x:v>
      </x:c>
      <x:c r="P101" s="23" t="str">
        <x:v>none</x:v>
      </x:c>
      <x:c r="Q101" s="23" t="str">
        <x:v>—</x:v>
      </x:c>
      <x:c r="R101" s="23" t="str">
        <x:v>—</x:v>
      </x:c>
      <x:c r="S101" s="23" t="str">
        <x:v>—</x:v>
      </x:c>
      <x:c r="T101" s="23" t="str">
        <x:v>—</x:v>
      </x:c>
      <x:c r="U101" s="23" t="str">
        <x:v>bullish</x:v>
      </x:c>
    </x:row>
    <x:row r="102">
      <x:c r="A102" s="23" t="n">
        <x:v>490</x:v>
      </x:c>
      <x:c r="B102" s="23" t="str">
        <x:v>LITE</x:v>
      </x:c>
      <x:c r="C102" s="53" t="n">
        <x:v>46188.13972222222</x:v>
      </x:c>
      <x:c r="D102" s="23" t="str">
        <x:v>aleabitoreddit</x:v>
      </x:c>
      <x:c r="E102" s="23" t="str">
        <x:v>bullish</x:v>
      </x:c>
      <x:c r="F102" s="34" t="n">
        <x:v>0.9</x:v>
      </x:c>
      <x:c r="G102" s="23" t="str">
        <x:v>auto</x:v>
      </x:c>
      <x:c r="H102" s="23" t="str">
        <x:v>vote 변경</x:v>
      </x:c>
      <x:c r="I102" s="23" t="str">
        <x:v>insufficient</x:v>
      </x:c>
      <x:c r="J102" s="23" t="n">
        <x:v>1</x:v>
      </x:c>
      <x:c r="K102" s="23" t="n">
        <x:v>0</x:v>
      </x:c>
      <x:c r="L102" s="23" t="n">
        <x:v>1</x:v>
      </x:c>
      <x:c r="M102" s="68" t="n">
        <x:v>1</x:v>
      </x:c>
      <x:c r="N102" s="68" t="n">
        <x:v>0</x:v>
      </x:c>
      <x:c r="O102" s="23" t="str">
        <x:v>insufficient</x:v>
      </x:c>
      <x:c r="P102" s="23" t="str">
        <x:v>none</x:v>
      </x:c>
      <x:c r="Q102" s="23" t="str">
        <x:v>—</x:v>
      </x:c>
      <x:c r="R102" s="23" t="str">
        <x:v>—</x:v>
      </x:c>
      <x:c r="S102" s="23" t="str">
        <x:v>—</x:v>
      </x:c>
      <x:c r="T102" s="23" t="str">
        <x:v>—</x:v>
      </x:c>
      <x:c r="U102" s="23" t="str">
        <x:v>bullish</x:v>
      </x:c>
    </x:row>
    <x:row r="103">
      <x:c r="A103" s="23" t="n">
        <x:v>494</x:v>
      </x:c>
      <x:c r="B103" s="23" t="str">
        <x:v>LITE</x:v>
      </x:c>
      <x:c r="C103" s="53" t="n">
        <x:v>46188.14399305556</x:v>
      </x:c>
      <x:c r="D103" s="23" t="str">
        <x:v>aleabitoreddit</x:v>
      </x:c>
      <x:c r="E103" s="23" t="str">
        <x:v>bullish</x:v>
      </x:c>
      <x:c r="F103" s="34" t="n">
        <x:v>0.7</x:v>
      </x:c>
      <x:c r="G103" s="23" t="str">
        <x:v>needs_review</x:v>
      </x:c>
      <x:c r="H103" s="23" t="str">
        <x:v>근거만</x:v>
      </x:c>
      <x:c r="I103" s="23" t="str">
        <x:v>insufficient</x:v>
      </x:c>
      <x:c r="J103" s="23" t="n">
        <x:v>1</x:v>
      </x:c>
      <x:c r="K103" s="23" t="n">
        <x:v>0</x:v>
      </x:c>
      <x:c r="L103" s="23" t="n">
        <x:v>1</x:v>
      </x:c>
      <x:c r="M103" s="68" t="n">
        <x:v>1</x:v>
      </x:c>
      <x:c r="N103" s="68" t="n">
        <x:v>0</x:v>
      </x:c>
      <x:c r="O103" s="23" t="str">
        <x:v>insufficient</x:v>
      </x:c>
      <x:c r="P103" s="23" t="str">
        <x:v>none</x:v>
      </x:c>
      <x:c r="Q103" s="23" t="str">
        <x:v>—</x:v>
      </x:c>
      <x:c r="R103" s="23" t="str">
        <x:v>—</x:v>
      </x:c>
      <x:c r="S103" s="23" t="str">
        <x:v>—</x:v>
      </x:c>
      <x:c r="T103" s="23" t="str">
        <x:v>—</x:v>
      </x:c>
      <x:c r="U103" s="23" t="str">
        <x:v>bullish</x:v>
      </x:c>
    </x:row>
    <x:row r="104">
      <x:c r="A104" s="23" t="n">
        <x:v>556</x:v>
      </x:c>
      <x:c r="B104" s="23" t="str">
        <x:v>LITE</x:v>
      </x:c>
      <x:c r="C104" s="53" t="n">
        <x:v>46189.31170138889</x:v>
      </x:c>
      <x:c r="D104" s="23" t="str">
        <x:v>aleabitoreddit</x:v>
      </x:c>
      <x:c r="E104" s="23" t="str">
        <x:v>bullish</x:v>
      </x:c>
      <x:c r="F104" s="34" t="n">
        <x:v>1</x:v>
      </x:c>
      <x:c r="G104" s="23" t="str">
        <x:v>auto</x:v>
      </x:c>
      <x:c r="H104" s="23" t="str">
        <x:v>vote 변경</x:v>
      </x:c>
      <x:c r="I104" s="23" t="str">
        <x:v>insufficient</x:v>
      </x:c>
      <x:c r="J104" s="23" t="n">
        <x:v>1</x:v>
      </x:c>
      <x:c r="K104" s="23" t="n">
        <x:v>0</x:v>
      </x:c>
      <x:c r="L104" s="23" t="n">
        <x:v>1</x:v>
      </x:c>
      <x:c r="M104" s="68" t="n">
        <x:v>1</x:v>
      </x:c>
      <x:c r="N104" s="68" t="n">
        <x:v>0</x:v>
      </x:c>
      <x:c r="O104" s="23" t="str">
        <x:v>insufficient</x:v>
      </x:c>
      <x:c r="P104" s="23" t="str">
        <x:v>none</x:v>
      </x:c>
      <x:c r="Q104" s="23" t="str">
        <x:v>—</x:v>
      </x:c>
      <x:c r="R104" s="23" t="str">
        <x:v>—</x:v>
      </x:c>
      <x:c r="S104" s="23" t="str">
        <x:v>—</x:v>
      </x:c>
      <x:c r="T104" s="23" t="str">
        <x:v>—</x:v>
      </x:c>
      <x:c r="U104" s="23" t="str">
        <x:v>bullish</x:v>
      </x:c>
    </x:row>
    <x:row r="105">
      <x:c r="A105" s="23" t="n">
        <x:v>1130</x:v>
      </x:c>
      <x:c r="B105" s="23" t="str">
        <x:v>LITE</x:v>
      </x:c>
      <x:c r="C105" s="53" t="n">
        <x:v>46192.51363425926</x:v>
      </x:c>
      <x:c r="D105" s="23" t="str">
        <x:v>aleabitoreddit</x:v>
      </x:c>
      <x:c r="E105" s="23" t="str">
        <x:v>bullish</x:v>
      </x:c>
      <x:c r="F105" s="34" t="n">
        <x:v>0.9</x:v>
      </x:c>
      <x:c r="G105" s="23" t="str">
        <x:v>auto</x:v>
      </x:c>
      <x:c r="H105" s="23" t="str">
        <x:v>vote 변경</x:v>
      </x:c>
      <x:c r="I105" s="23" t="str">
        <x:v>insufficient</x:v>
      </x:c>
      <x:c r="J105" s="23" t="n">
        <x:v>1</x:v>
      </x:c>
      <x:c r="K105" s="23" t="n">
        <x:v>0</x:v>
      </x:c>
      <x:c r="L105" s="23" t="n">
        <x:v>1</x:v>
      </x:c>
      <x:c r="M105" s="68" t="n">
        <x:v>1</x:v>
      </x:c>
      <x:c r="N105" s="68" t="n">
        <x:v>0</x:v>
      </x:c>
      <x:c r="O105" s="23" t="str">
        <x:v>insufficient</x:v>
      </x:c>
      <x:c r="P105" s="23" t="str">
        <x:v>none</x:v>
      </x:c>
      <x:c r="Q105" s="23" t="str">
        <x:v>—</x:v>
      </x:c>
      <x:c r="R105" s="23" t="str">
        <x:v>—</x:v>
      </x:c>
      <x:c r="S105" s="23" t="str">
        <x:v>—</x:v>
      </x:c>
      <x:c r="T105" s="23" t="str">
        <x:v>—</x:v>
      </x:c>
      <x:c r="U105" s="23" t="str">
        <x:v>bullish</x:v>
      </x:c>
    </x:row>
    <x:row r="106">
      <x:c r="A106" s="23" t="n">
        <x:v>887</x:v>
      </x:c>
      <x:c r="B106" s="23" t="str">
        <x:v>LITE</x:v>
      </x:c>
      <x:c r="C106" s="53" t="n">
        <x:v>46193.49501157407</x:v>
      </x:c>
      <x:c r="D106" s="23" t="str">
        <x:v>aleabitoreddit</x:v>
      </x:c>
      <x:c r="E106" s="23" t="str">
        <x:v>bullish</x:v>
      </x:c>
      <x:c r="F106" s="34" t="n">
        <x:v>0.9</x:v>
      </x:c>
      <x:c r="G106" s="23" t="str">
        <x:v>needs_review</x:v>
      </x:c>
      <x:c r="H106" s="23" t="str">
        <x:v>근거만</x:v>
      </x:c>
      <x:c r="I106" s="23" t="str">
        <x:v>insufficient</x:v>
      </x:c>
      <x:c r="J106" s="23" t="n">
        <x:v>1</x:v>
      </x:c>
      <x:c r="K106" s="23" t="n">
        <x:v>0</x:v>
      </x:c>
      <x:c r="L106" s="23" t="n">
        <x:v>1</x:v>
      </x:c>
      <x:c r="M106" s="68" t="n">
        <x:v>1</x:v>
      </x:c>
      <x:c r="N106" s="68" t="n">
        <x:v>0</x:v>
      </x:c>
      <x:c r="O106" s="23" t="str">
        <x:v>insufficient</x:v>
      </x:c>
      <x:c r="P106" s="23" t="str">
        <x:v>none</x:v>
      </x:c>
      <x:c r="Q106" s="23" t="str">
        <x:v>—</x:v>
      </x:c>
      <x:c r="R106" s="23" t="str">
        <x:v>—</x:v>
      </x:c>
      <x:c r="S106" s="23" t="str">
        <x:v>—</x:v>
      </x:c>
      <x:c r="T106" s="23" t="str">
        <x:v>—</x:v>
      </x:c>
      <x:c r="U106" s="23" t="str">
        <x:v>bullish</x:v>
      </x:c>
    </x:row>
    <x:row r="107">
      <x:c r="A107" s="23" t="n">
        <x:v>689</x:v>
      </x:c>
      <x:c r="B107" s="23" t="str">
        <x:v>LITE</x:v>
      </x:c>
      <x:c r="C107" s="53" t="n">
        <x:v>46194.35337962963</x:v>
      </x:c>
      <x:c r="D107" s="23" t="str">
        <x:v>aleabitoreddit</x:v>
      </x:c>
      <x:c r="E107" s="23" t="str">
        <x:v>bullish</x:v>
      </x:c>
      <x:c r="F107" s="34" t="n">
        <x:v>0.7</x:v>
      </x:c>
      <x:c r="G107" s="23" t="str">
        <x:v>needs_review</x:v>
      </x:c>
      <x:c r="H107" s="23" t="str">
        <x:v>근거만</x:v>
      </x:c>
      <x:c r="I107" s="23" t="str">
        <x:v>insufficient</x:v>
      </x:c>
      <x:c r="J107" s="23" t="n">
        <x:v>1</x:v>
      </x:c>
      <x:c r="K107" s="23" t="n">
        <x:v>0</x:v>
      </x:c>
      <x:c r="L107" s="23" t="n">
        <x:v>1</x:v>
      </x:c>
      <x:c r="M107" s="68" t="n">
        <x:v>1</x:v>
      </x:c>
      <x:c r="N107" s="68" t="n">
        <x:v>0</x:v>
      </x:c>
      <x:c r="O107" s="23" t="str">
        <x:v>insufficient</x:v>
      </x:c>
      <x:c r="P107" s="23" t="str">
        <x:v>none</x:v>
      </x:c>
      <x:c r="Q107" s="23" t="str">
        <x:v>—</x:v>
      </x:c>
      <x:c r="R107" s="23" t="str">
        <x:v>—</x:v>
      </x:c>
      <x:c r="S107" s="23" t="str">
        <x:v>—</x:v>
      </x:c>
      <x:c r="T107" s="23" t="str">
        <x:v>—</x:v>
      </x:c>
      <x:c r="U107" s="23" t="str">
        <x:v>bullish</x:v>
      </x:c>
    </x:row>
    <x:row r="108">
      <x:c r="A108" s="23" t="n">
        <x:v>692</x:v>
      </x:c>
      <x:c r="B108" s="23" t="str">
        <x:v>LITE</x:v>
      </x:c>
      <x:c r="C108" s="53" t="n">
        <x:v>46194.36450231481</x:v>
      </x:c>
      <x:c r="D108" s="23" t="str">
        <x:v>aleabitoreddit</x:v>
      </x:c>
      <x:c r="E108" s="23" t="str">
        <x:v>bullish</x:v>
      </x:c>
      <x:c r="F108" s="34" t="n">
        <x:v>0.8</x:v>
      </x:c>
      <x:c r="G108" s="23" t="str">
        <x:v>auto</x:v>
      </x:c>
      <x:c r="H108" s="23" t="str">
        <x:v>vote 변경</x:v>
      </x:c>
      <x:c r="I108" s="23" t="str">
        <x:v>insufficient</x:v>
      </x:c>
      <x:c r="J108" s="23" t="n">
        <x:v>1</x:v>
      </x:c>
      <x:c r="K108" s="23" t="n">
        <x:v>0</x:v>
      </x:c>
      <x:c r="L108" s="23" t="n">
        <x:v>1</x:v>
      </x:c>
      <x:c r="M108" s="68" t="n">
        <x:v>1</x:v>
      </x:c>
      <x:c r="N108" s="68" t="n">
        <x:v>0</x:v>
      </x:c>
      <x:c r="O108" s="23" t="str">
        <x:v>insufficient</x:v>
      </x:c>
      <x:c r="P108" s="23" t="str">
        <x:v>none</x:v>
      </x:c>
      <x:c r="Q108" s="23" t="str">
        <x:v>—</x:v>
      </x:c>
      <x:c r="R108" s="23" t="str">
        <x:v>—</x:v>
      </x:c>
      <x:c r="S108" s="23" t="str">
        <x:v>—</x:v>
      </x:c>
      <x:c r="T108" s="23" t="str">
        <x:v>—</x:v>
      </x:c>
      <x:c r="U108" s="23" t="str">
        <x:v>bullish</x:v>
      </x:c>
    </x:row>
    <x:row r="109">
      <x:c r="A109" s="23" t="n">
        <x:v>669</x:v>
      </x:c>
      <x:c r="B109" s="23" t="str">
        <x:v>LITE</x:v>
      </x:c>
      <x:c r="C109" s="53" t="n">
        <x:v>46194.47971064815</x:v>
      </x:c>
      <x:c r="D109" s="23" t="str">
        <x:v>aleabitoreddit</x:v>
      </x:c>
      <x:c r="E109" s="23" t="str">
        <x:v>bullish</x:v>
      </x:c>
      <x:c r="F109" s="34" t="n">
        <x:v>0.9</x:v>
      </x:c>
      <x:c r="G109" s="23" t="str">
        <x:v>auto</x:v>
      </x:c>
      <x:c r="H109" s="23" t="str">
        <x:v>vote 변경</x:v>
      </x:c>
      <x:c r="I109" s="23" t="str">
        <x:v>insufficient</x:v>
      </x:c>
      <x:c r="J109" s="23" t="n">
        <x:v>1</x:v>
      </x:c>
      <x:c r="K109" s="23" t="n">
        <x:v>0</x:v>
      </x:c>
      <x:c r="L109" s="23" t="n">
        <x:v>1</x:v>
      </x:c>
      <x:c r="M109" s="68" t="n">
        <x:v>1</x:v>
      </x:c>
      <x:c r="N109" s="68" t="n">
        <x:v>0</x:v>
      </x:c>
      <x:c r="O109" s="23" t="str">
        <x:v>insufficient</x:v>
      </x:c>
      <x:c r="P109" s="23" t="str">
        <x:v>none</x:v>
      </x:c>
      <x:c r="Q109" s="23" t="str">
        <x:v>—</x:v>
      </x:c>
      <x:c r="R109" s="23" t="str">
        <x:v>—</x:v>
      </x:c>
      <x:c r="S109" s="23" t="str">
        <x:v>—</x:v>
      </x:c>
      <x:c r="T109" s="23" t="str">
        <x:v>—</x:v>
      </x:c>
      <x:c r="U109" s="23" t="str">
        <x:v>bullish</x:v>
      </x:c>
    </x:row>
    <x:row r="110">
      <x:c r="A110" s="23" t="n">
        <x:v>707</x:v>
      </x:c>
      <x:c r="B110" s="23" t="str">
        <x:v>LITE</x:v>
      </x:c>
      <x:c r="C110" s="53" t="n">
        <x:v>46196.13662037037</x:v>
      </x:c>
      <x:c r="D110" s="23" t="str">
        <x:v>aleabitoreddit</x:v>
      </x:c>
      <x:c r="E110" s="23" t="str">
        <x:v>bullish</x:v>
      </x:c>
      <x:c r="F110" s="34" t="n">
        <x:v>0.9</x:v>
      </x:c>
      <x:c r="G110" s="23" t="str">
        <x:v>auto</x:v>
      </x:c>
      <x:c r="H110" s="23" t="str">
        <x:v>vote 변경</x:v>
      </x:c>
      <x:c r="I110" s="23" t="str">
        <x:v>insufficient</x:v>
      </x:c>
      <x:c r="J110" s="23" t="n">
        <x:v>1</x:v>
      </x:c>
      <x:c r="K110" s="23" t="n">
        <x:v>0</x:v>
      </x:c>
      <x:c r="L110" s="23" t="n">
        <x:v>1</x:v>
      </x:c>
      <x:c r="M110" s="68" t="n">
        <x:v>1</x:v>
      </x:c>
      <x:c r="N110" s="68" t="n">
        <x:v>0</x:v>
      </x:c>
      <x:c r="O110" s="23" t="str">
        <x:v>insufficient</x:v>
      </x:c>
      <x:c r="P110" s="23" t="str">
        <x:v>none</x:v>
      </x:c>
      <x:c r="Q110" s="23" t="str">
        <x:v>—</x:v>
      </x:c>
      <x:c r="R110" s="23" t="str">
        <x:v>—</x:v>
      </x:c>
      <x:c r="S110" s="23" t="str">
        <x:v>—</x:v>
      </x:c>
      <x:c r="T110" s="23" t="str">
        <x:v>—</x:v>
      </x:c>
      <x:c r="U110" s="23" t="str">
        <x:v>bullish</x:v>
      </x:c>
    </x:row>
    <x:row r="111">
      <x:c r="A111" s="23" t="n">
        <x:v>705</x:v>
      </x:c>
      <x:c r="B111" s="23" t="str">
        <x:v>LITE</x:v>
      </x:c>
      <x:c r="C111" s="53" t="n">
        <x:v>46196.14292824074</x:v>
      </x:c>
      <x:c r="D111" s="23" t="str">
        <x:v>aleabitoreddit</x:v>
      </x:c>
      <x:c r="E111" s="23" t="str">
        <x:v>neutral</x:v>
      </x:c>
      <x:c r="F111" s="34" t="n">
        <x:v>0.6</x:v>
      </x:c>
      <x:c r="G111" s="23" t="str">
        <x:v>needs_review</x:v>
      </x:c>
      <x:c r="H111" s="23" t="str">
        <x:v>근거만</x:v>
      </x:c>
      <x:c r="I111" s="23" t="str">
        <x:v>insufficient</x:v>
      </x:c>
      <x:c r="J111" s="23" t="n">
        <x:v>1</x:v>
      </x:c>
      <x:c r="K111" s="23" t="n">
        <x:v>0</x:v>
      </x:c>
      <x:c r="L111" s="23" t="n">
        <x:v>1</x:v>
      </x:c>
      <x:c r="M111" s="68" t="n">
        <x:v>1</x:v>
      </x:c>
      <x:c r="N111" s="68" t="n">
        <x:v>0</x:v>
      </x:c>
      <x:c r="O111" s="23" t="str">
        <x:v>insufficient</x:v>
      </x:c>
      <x:c r="P111" s="23" t="str">
        <x:v>none</x:v>
      </x:c>
      <x:c r="Q111" s="23" t="str">
        <x:v>—</x:v>
      </x:c>
      <x:c r="R111" s="23" t="str">
        <x:v>—</x:v>
      </x:c>
      <x:c r="S111" s="23" t="str">
        <x:v>—</x:v>
      </x:c>
      <x:c r="T111" s="23" t="str">
        <x:v>—</x:v>
      </x:c>
      <x:c r="U111" s="23" t="str">
        <x:v>bullish</x:v>
      </x:c>
    </x:row>
    <x:row r="112">
      <x:c r="A112" s="23" t="n">
        <x:v>732</x:v>
      </x:c>
      <x:c r="B112" s="23" t="str">
        <x:v>LITE</x:v>
      </x:c>
      <x:c r="C112" s="53" t="n">
        <x:v>46196.654270833336</x:v>
      </x:c>
      <x:c r="D112" s="23" t="str">
        <x:v>aleabitoreddit</x:v>
      </x:c>
      <x:c r="E112" s="23" t="str">
        <x:v>bearish</x:v>
      </x:c>
      <x:c r="F112" s="34" t="n">
        <x:v>0.8</x:v>
      </x:c>
      <x:c r="G112" s="23" t="str">
        <x:v>auto</x:v>
      </x:c>
      <x:c r="H112" s="23" t="str">
        <x:v>vote 변경</x:v>
      </x:c>
      <x:c r="I112" s="23" t="str">
        <x:v>insufficient</x:v>
      </x:c>
      <x:c r="J112" s="23" t="n">
        <x:v>0</x:v>
      </x:c>
      <x:c r="K112" s="23" t="n">
        <x:v>1</x:v>
      </x:c>
      <x:c r="L112" s="23" t="n">
        <x:v>1</x:v>
      </x:c>
      <x:c r="M112" s="68" t="n">
        <x:v>0</x:v>
      </x:c>
      <x:c r="N112" s="68" t="n">
        <x:v>1</x:v>
      </x:c>
      <x:c r="O112" s="23" t="str">
        <x:v>insufficient</x:v>
      </x:c>
      <x:c r="P112" s="23" t="str">
        <x:v>none</x:v>
      </x:c>
      <x:c r="Q112" s="23" t="str">
        <x:v>—</x:v>
      </x:c>
      <x:c r="R112" s="23" t="str">
        <x:v>—</x:v>
      </x:c>
      <x:c r="S112" s="23" t="str">
        <x:v>—</x:v>
      </x:c>
      <x:c r="T112" s="23" t="str">
        <x:v>—</x:v>
      </x:c>
      <x:c r="U112" s="23" t="str">
        <x:v>bearish</x:v>
      </x:c>
    </x:row>
    <x:row r="113">
      <x:c r="A113" s="23" t="n">
        <x:v>750</x:v>
      </x:c>
      <x:c r="B113" s="23" t="str">
        <x:v>LITE</x:v>
      </x:c>
      <x:c r="C113" s="53" t="n">
        <x:v>46197.907997685186</x:v>
      </x:c>
      <x:c r="D113" s="23" t="str">
        <x:v>aleabitoreddit</x:v>
      </x:c>
      <x:c r="E113" s="23" t="str">
        <x:v>bullish</x:v>
      </x:c>
      <x:c r="F113" s="34" t="n">
        <x:v>0.6</x:v>
      </x:c>
      <x:c r="G113" s="23" t="str">
        <x:v>needs_review</x:v>
      </x:c>
      <x:c r="H113" s="23" t="str">
        <x:v>근거만</x:v>
      </x:c>
      <x:c r="I113" s="23" t="str">
        <x:v>insufficient</x:v>
      </x:c>
      <x:c r="J113" s="23" t="n">
        <x:v>0</x:v>
      </x:c>
      <x:c r="K113" s="23" t="n">
        <x:v>1</x:v>
      </x:c>
      <x:c r="L113" s="23" t="n">
        <x:v>1</x:v>
      </x:c>
      <x:c r="M113" s="68" t="n">
        <x:v>0</x:v>
      </x:c>
      <x:c r="N113" s="68" t="n">
        <x:v>1</x:v>
      </x:c>
      <x:c r="O113" s="23" t="str">
        <x:v>insufficient</x:v>
      </x:c>
      <x:c r="P113" s="23" t="str">
        <x:v>none</x:v>
      </x:c>
      <x:c r="Q113" s="23" t="str">
        <x:v>—</x:v>
      </x:c>
      <x:c r="R113" s="23" t="str">
        <x:v>—</x:v>
      </x:c>
      <x:c r="S113" s="23" t="str">
        <x:v>—</x:v>
      </x:c>
      <x:c r="T113" s="23" t="str">
        <x:v>—</x:v>
      </x:c>
      <x:c r="U113" s="23" t="str">
        <x:v>bearish</x:v>
      </x:c>
    </x:row>
    <x:row r="114">
      <x:c r="A114" s="23" t="n">
        <x:v>807</x:v>
      </x:c>
      <x:c r="B114" s="23" t="str">
        <x:v>LITE</x:v>
      </x:c>
      <x:c r="C114" s="53" t="n">
        <x:v>46199.12934027778</x:v>
      </x:c>
      <x:c r="D114" s="23" t="str">
        <x:v>aleabitoreddit</x:v>
      </x:c>
      <x:c r="E114" s="23" t="str">
        <x:v>bullish</x:v>
      </x:c>
      <x:c r="F114" s="34" t="n">
        <x:v>0.8</x:v>
      </x:c>
      <x:c r="G114" s="23" t="str">
        <x:v>needs_review</x:v>
      </x:c>
      <x:c r="H114" s="23" t="str">
        <x:v>근거만</x:v>
      </x:c>
      <x:c r="I114" s="23" t="str">
        <x:v>insufficient</x:v>
      </x:c>
      <x:c r="J114" s="23" t="n">
        <x:v>0</x:v>
      </x:c>
      <x:c r="K114" s="23" t="n">
        <x:v>1</x:v>
      </x:c>
      <x:c r="L114" s="23" t="n">
        <x:v>1</x:v>
      </x:c>
      <x:c r="M114" s="68" t="n">
        <x:v>0</x:v>
      </x:c>
      <x:c r="N114" s="68" t="n">
        <x:v>1</x:v>
      </x:c>
      <x:c r="O114" s="23" t="str">
        <x:v>insufficient</x:v>
      </x:c>
      <x:c r="P114" s="23" t="str">
        <x:v>none</x:v>
      </x:c>
      <x:c r="Q114" s="23" t="str">
        <x:v>—</x:v>
      </x:c>
      <x:c r="R114" s="23" t="str">
        <x:v>—</x:v>
      </x:c>
      <x:c r="S114" s="23" t="str">
        <x:v>—</x:v>
      </x:c>
      <x:c r="T114" s="23" t="str">
        <x:v>—</x:v>
      </x:c>
      <x:c r="U114" s="23" t="str">
        <x:v>bearish</x:v>
      </x:c>
    </x:row>
    <x:row r="115">
      <x:c r="A115" s="23" t="n">
        <x:v>857</x:v>
      </x:c>
      <x:c r="B115" s="23" t="str">
        <x:v>LITE</x:v>
      </x:c>
      <x:c r="C115" s="53" t="n">
        <x:v>46202.29010416667</x:v>
      </x:c>
      <x:c r="D115" s="23" t="str">
        <x:v>aleabitoreddit</x:v>
      </x:c>
      <x:c r="E115" s="23" t="str">
        <x:v>bullish</x:v>
      </x:c>
      <x:c r="F115" s="34" t="n">
        <x:v>0.8</x:v>
      </x:c>
      <x:c r="G115" s="23" t="str">
        <x:v>auto</x:v>
      </x:c>
      <x:c r="H115" s="23" t="str">
        <x:v>vote 변경</x:v>
      </x:c>
      <x:c r="I115" s="23" t="str">
        <x:v>insufficient</x:v>
      </x:c>
      <x:c r="J115" s="23" t="n">
        <x:v>1</x:v>
      </x:c>
      <x:c r="K115" s="23" t="n">
        <x:v>0</x:v>
      </x:c>
      <x:c r="L115" s="23" t="n">
        <x:v>1</x:v>
      </x:c>
      <x:c r="M115" s="68" t="n">
        <x:v>1</x:v>
      </x:c>
      <x:c r="N115" s="68" t="n">
        <x:v>0</x:v>
      </x:c>
      <x:c r="O115" s="23" t="str">
        <x:v>insufficient</x:v>
      </x:c>
      <x:c r="P115" s="23" t="str">
        <x:v>none</x:v>
      </x:c>
      <x:c r="Q115" s="23" t="str">
        <x:v>—</x:v>
      </x:c>
      <x:c r="R115" s="23" t="str">
        <x:v>—</x:v>
      </x:c>
      <x:c r="S115" s="23" t="str">
        <x:v>—</x:v>
      </x:c>
      <x:c r="T115" s="23" t="str">
        <x:v>—</x:v>
      </x:c>
      <x:c r="U115" s="23" t="str">
        <x:v>bullish</x:v>
      </x:c>
    </x:row>
    <x:row r="116">
      <x:c r="A116" s="23" t="n">
        <x:v>941</x:v>
      </x:c>
      <x:c r="B116" s="23" t="str">
        <x:v>LITE</x:v>
      </x:c>
      <x:c r="C116" s="53" t="n">
        <x:v>46205.70591435185</x:v>
      </x:c>
      <x:c r="D116" s="23" t="str">
        <x:v>aleabitoreddit</x:v>
      </x:c>
      <x:c r="E116" s="23" t="str">
        <x:v>bullish</x:v>
      </x:c>
      <x:c r="F116" s="34" t="n">
        <x:v>0.9</x:v>
      </x:c>
      <x:c r="G116" s="23" t="str">
        <x:v>auto</x:v>
      </x:c>
      <x:c r="H116" s="23" t="str">
        <x:v>vote 변경</x:v>
      </x:c>
      <x:c r="I116" s="23" t="str">
        <x:v>insufficient</x:v>
      </x:c>
      <x:c r="J116" s="23" t="n">
        <x:v>1</x:v>
      </x:c>
      <x:c r="K116" s="23" t="n">
        <x:v>0</x:v>
      </x:c>
      <x:c r="L116" s="23" t="n">
        <x:v>1</x:v>
      </x:c>
      <x:c r="M116" s="68" t="n">
        <x:v>1</x:v>
      </x:c>
      <x:c r="N116" s="68" t="n">
        <x:v>0</x:v>
      </x:c>
      <x:c r="O116" s="23" t="str">
        <x:v>insufficient</x:v>
      </x:c>
      <x:c r="P116" s="23" t="str">
        <x:v>none</x:v>
      </x:c>
      <x:c r="Q116" s="23" t="str">
        <x:v>—</x:v>
      </x:c>
      <x:c r="R116" s="23" t="str">
        <x:v>—</x:v>
      </x:c>
      <x:c r="S116" s="23" t="str">
        <x:v>—</x:v>
      </x:c>
      <x:c r="T116" s="23" t="str">
        <x:v>—</x:v>
      </x:c>
      <x:c r="U116" s="23" t="str">
        <x:v>bullish</x:v>
      </x:c>
    </x:row>
    <x:row r="117">
      <x:c r="A117" s="23" t="n">
        <x:v>1000</x:v>
      </x:c>
      <x:c r="B117" s="23" t="str">
        <x:v>LITE</x:v>
      </x:c>
      <x:c r="C117" s="53" t="n">
        <x:v>46206.6805787037</x:v>
      </x:c>
      <x:c r="D117" s="23" t="str">
        <x:v>aleabitoreddit</x:v>
      </x:c>
      <x:c r="E117" s="23" t="str">
        <x:v>bearish</x:v>
      </x:c>
      <x:c r="F117" s="34" t="n">
        <x:v>0.8</x:v>
      </x:c>
      <x:c r="G117" s="23" t="str">
        <x:v>auto</x:v>
      </x:c>
      <x:c r="H117" s="23" t="str">
        <x:v>vote 변경</x:v>
      </x:c>
      <x:c r="I117" s="23" t="str">
        <x:v>insufficient</x:v>
      </x:c>
      <x:c r="J117" s="23" t="n">
        <x:v>0</x:v>
      </x:c>
      <x:c r="K117" s="23" t="n">
        <x:v>1</x:v>
      </x:c>
      <x:c r="L117" s="23" t="n">
        <x:v>1</x:v>
      </x:c>
      <x:c r="M117" s="68" t="n">
        <x:v>0</x:v>
      </x:c>
      <x:c r="N117" s="68" t="n">
        <x:v>1</x:v>
      </x:c>
      <x:c r="O117" s="23" t="str">
        <x:v>insufficient</x:v>
      </x:c>
      <x:c r="P117" s="23" t="str">
        <x:v>none</x:v>
      </x:c>
      <x:c r="Q117" s="23" t="str">
        <x:v>—</x:v>
      </x:c>
      <x:c r="R117" s="23" t="str">
        <x:v>—</x:v>
      </x:c>
      <x:c r="S117" s="23" t="str">
        <x:v>—</x:v>
      </x:c>
      <x:c r="T117" s="23" t="str">
        <x:v>—</x:v>
      </x:c>
      <x:c r="U117" s="23" t="str">
        <x:v>bearish</x:v>
      </x:c>
    </x:row>
    <x:row r="118">
      <x:c r="A118" s="23" t="n">
        <x:v>1004</x:v>
      </x:c>
      <x:c r="B118" s="23" t="str">
        <x:v>LITE</x:v>
      </x:c>
      <x:c r="C118" s="53" t="n">
        <x:v>46207.75171296296</x:v>
      </x:c>
      <x:c r="D118" s="23" t="str">
        <x:v>aleabitoreddit</x:v>
      </x:c>
      <x:c r="E118" s="23" t="str">
        <x:v>bullish</x:v>
      </x:c>
      <x:c r="F118" s="34" t="n">
        <x:v>0.7</x:v>
      </x:c>
      <x:c r="G118" s="23" t="str">
        <x:v>needs_review</x:v>
      </x:c>
      <x:c r="H118" s="23" t="str">
        <x:v>근거만</x:v>
      </x:c>
      <x:c r="I118" s="23" t="str">
        <x:v>insufficient</x:v>
      </x:c>
      <x:c r="J118" s="23" t="n">
        <x:v>0</x:v>
      </x:c>
      <x:c r="K118" s="23" t="n">
        <x:v>1</x:v>
      </x:c>
      <x:c r="L118" s="23" t="n">
        <x:v>1</x:v>
      </x:c>
      <x:c r="M118" s="68" t="n">
        <x:v>0</x:v>
      </x:c>
      <x:c r="N118" s="68" t="n">
        <x:v>1</x:v>
      </x:c>
      <x:c r="O118" s="23" t="str">
        <x:v>insufficient</x:v>
      </x:c>
      <x:c r="P118" s="23" t="str">
        <x:v>none</x:v>
      </x:c>
      <x:c r="Q118" s="23" t="str">
        <x:v>—</x:v>
      </x:c>
      <x:c r="R118" s="23" t="str">
        <x:v>—</x:v>
      </x:c>
      <x:c r="S118" s="23" t="str">
        <x:v>—</x:v>
      </x:c>
      <x:c r="T118" s="23" t="str">
        <x:v>—</x:v>
      </x:c>
      <x:c r="U118" s="23" t="str">
        <x:v>bearish</x:v>
      </x:c>
    </x:row>
    <x:row r="119">
      <x:c r="A119" s="23" t="n">
        <x:v>1071</x:v>
      </x:c>
      <x:c r="B119" s="23" t="str">
        <x:v>LITE</x:v>
      </x:c>
      <x:c r="C119" s="53" t="n">
        <x:v>46209.88483796296</x:v>
      </x:c>
      <x:c r="D119" s="23" t="str">
        <x:v>aleabitoreddit</x:v>
      </x:c>
      <x:c r="E119" s="23" t="str">
        <x:v>bullish</x:v>
      </x:c>
      <x:c r="F119" s="34" t="n">
        <x:v>0.9</x:v>
      </x:c>
      <x:c r="G119" s="23" t="str">
        <x:v>auto</x:v>
      </x:c>
      <x:c r="H119" s="23" t="str">
        <x:v>vote 변경</x:v>
      </x:c>
      <x:c r="I119" s="23" t="str">
        <x:v>insufficient</x:v>
      </x:c>
      <x:c r="J119" s="23" t="n">
        <x:v>1</x:v>
      </x:c>
      <x:c r="K119" s="23" t="n">
        <x:v>0</x:v>
      </x:c>
      <x:c r="L119" s="23" t="n">
        <x:v>1</x:v>
      </x:c>
      <x:c r="M119" s="68" t="n">
        <x:v>1</x:v>
      </x:c>
      <x:c r="N119" s="68" t="n">
        <x:v>0</x:v>
      </x:c>
      <x:c r="O119" s="23" t="str">
        <x:v>insufficient</x:v>
      </x:c>
      <x:c r="P119" s="23" t="str">
        <x:v>none</x:v>
      </x:c>
      <x:c r="Q119" s="23" t="str">
        <x:v>—</x:v>
      </x:c>
      <x:c r="R119" s="23" t="str">
        <x:v>—</x:v>
      </x:c>
      <x:c r="S119" s="23" t="str">
        <x:v>—</x:v>
      </x:c>
      <x:c r="T119" s="23" t="str">
        <x:v>—</x:v>
      </x:c>
      <x:c r="U119" s="23" t="str">
        <x:v>bullish</x:v>
      </x:c>
    </x:row>
    <x:row r="120">
      <x:c r="A120" s="23" t="n">
        <x:v>44</x:v>
      </x:c>
      <x:c r="B120" s="23" t="str">
        <x:v>LITE</x:v>
      </x:c>
      <x:c r="C120" s="53" t="n">
        <x:v>46213.349641203706</x:v>
      </x:c>
      <x:c r="D120" s="23" t="str">
        <x:v>aleabitoreddit</x:v>
      </x:c>
      <x:c r="E120" s="23" t="str">
        <x:v>bullish</x:v>
      </x:c>
      <x:c r="F120" s="34" t="n">
        <x:v>0.9</x:v>
      </x:c>
      <x:c r="G120" s="23" t="str">
        <x:v>auto</x:v>
      </x:c>
      <x:c r="H120" s="23" t="str">
        <x:v>vote 변경</x:v>
      </x:c>
      <x:c r="I120" s="23" t="str">
        <x:v>insufficient</x:v>
      </x:c>
      <x:c r="J120" s="23" t="n">
        <x:v>1</x:v>
      </x:c>
      <x:c r="K120" s="23" t="n">
        <x:v>0</x:v>
      </x:c>
      <x:c r="L120" s="23" t="n">
        <x:v>1</x:v>
      </x:c>
      <x:c r="M120" s="68" t="n">
        <x:v>1</x:v>
      </x:c>
      <x:c r="N120" s="68" t="n">
        <x:v>0</x:v>
      </x:c>
      <x:c r="O120" s="23" t="str">
        <x:v>insufficient</x:v>
      </x:c>
      <x:c r="P120" s="23" t="str">
        <x:v>none</x:v>
      </x:c>
      <x:c r="Q120" s="23" t="str">
        <x:v>—</x:v>
      </x:c>
      <x:c r="R120" s="23" t="str">
        <x:v>—</x:v>
      </x:c>
      <x:c r="S120" s="23" t="str">
        <x:v>—</x:v>
      </x:c>
      <x:c r="T120" s="23" t="str">
        <x:v>—</x:v>
      </x:c>
      <x:c r="U120" s="23" t="str">
        <x:v>bullish</x:v>
      </x:c>
    </x:row>
    <x:row r="121">
      <x:c r="A121" s="23" t="n">
        <x:v>75</x:v>
      </x:c>
      <x:c r="B121" s="23" t="str">
        <x:v>LITE</x:v>
      </x:c>
      <x:c r="C121" s="53" t="n">
        <x:v>46216.80608796296</x:v>
      </x:c>
      <x:c r="D121" s="23" t="str">
        <x:v>aleabitoreddit</x:v>
      </x:c>
      <x:c r="E121" s="23" t="str">
        <x:v>bullish</x:v>
      </x:c>
      <x:c r="F121" s="34" t="n">
        <x:v>0.7</x:v>
      </x:c>
      <x:c r="G121" s="23" t="str">
        <x:v>needs_review</x:v>
      </x:c>
      <x:c r="H121" s="23" t="str">
        <x:v>근거만</x:v>
      </x:c>
      <x:c r="I121" s="23" t="str">
        <x:v>insufficient</x:v>
      </x:c>
      <x:c r="J121" s="23" t="n">
        <x:v>1</x:v>
      </x:c>
      <x:c r="K121" s="23" t="n">
        <x:v>0</x:v>
      </x:c>
      <x:c r="L121" s="23" t="n">
        <x:v>1</x:v>
      </x:c>
      <x:c r="M121" s="68" t="n">
        <x:v>1</x:v>
      </x:c>
      <x:c r="N121" s="68" t="n">
        <x:v>0</x:v>
      </x:c>
      <x:c r="O121" s="23" t="str">
        <x:v>insufficient</x:v>
      </x:c>
      <x:c r="P121" s="23" t="str">
        <x:v>none</x:v>
      </x:c>
      <x:c r="Q121" s="23" t="str">
        <x:v>—</x:v>
      </x:c>
      <x:c r="R121" s="23" t="str">
        <x:v>—</x:v>
      </x:c>
      <x:c r="S121" s="23" t="str">
        <x:v>—</x:v>
      </x:c>
      <x:c r="T121" s="23" t="str">
        <x:v>—</x:v>
      </x:c>
      <x:c r="U121" s="23" t="str">
        <x:v>bullish</x:v>
      </x:c>
    </x:row>
    <x:row r="122">
      <x:c r="A122" s="23" t="n">
        <x:v>82</x:v>
      </x:c>
      <x:c r="B122" s="23" t="str">
        <x:v>LITE</x:v>
      </x:c>
      <x:c r="C122" s="53" t="n">
        <x:v>46216.846504629626</x:v>
      </x:c>
      <x:c r="D122" s="23" t="str">
        <x:v>aleabitoreddit</x:v>
      </x:c>
      <x:c r="E122" s="23" t="str">
        <x:v>bullish</x:v>
      </x:c>
      <x:c r="F122" s="34" t="n">
        <x:v>0.7</x:v>
      </x:c>
      <x:c r="G122" s="23" t="str">
        <x:v>needs_review</x:v>
      </x:c>
      <x:c r="H122" s="23" t="str">
        <x:v>근거만</x:v>
      </x:c>
      <x:c r="I122" s="23" t="str">
        <x:v>insufficient</x:v>
      </x:c>
      <x:c r="J122" s="23" t="n">
        <x:v>1</x:v>
      </x:c>
      <x:c r="K122" s="23" t="n">
        <x:v>0</x:v>
      </x:c>
      <x:c r="L122" s="23" t="n">
        <x:v>1</x:v>
      </x:c>
      <x:c r="M122" s="68" t="n">
        <x:v>1</x:v>
      </x:c>
      <x:c r="N122" s="68" t="n">
        <x:v>0</x:v>
      </x:c>
      <x:c r="O122" s="23" t="str">
        <x:v>insufficient</x:v>
      </x:c>
      <x:c r="P122" s="23" t="str">
        <x:v>none</x:v>
      </x:c>
      <x:c r="Q122" s="23" t="str">
        <x:v>—</x:v>
      </x:c>
      <x:c r="R122" s="23" t="str">
        <x:v>—</x:v>
      </x:c>
      <x:c r="S122" s="23" t="str">
        <x:v>—</x:v>
      </x:c>
      <x:c r="T122" s="23" t="str">
        <x:v>—</x:v>
      </x:c>
      <x:c r="U122" s="23" t="str">
        <x:v>bullish</x:v>
      </x:c>
    </x:row>
    <x:row r="123">
      <x:c r="A123" s="23" t="n">
        <x:v>86</x:v>
      </x:c>
      <x:c r="B123" s="23" t="str">
        <x:v>LITE</x:v>
      </x:c>
      <x:c r="C123" s="53" t="n">
        <x:v>46216.970671296294</x:v>
      </x:c>
      <x:c r="D123" s="23" t="str">
        <x:v>aleabitoreddit</x:v>
      </x:c>
      <x:c r="E123" s="23" t="str">
        <x:v>bullish</x:v>
      </x:c>
      <x:c r="F123" s="34" t="n">
        <x:v>0.8</x:v>
      </x:c>
      <x:c r="G123" s="23" t="str">
        <x:v>auto</x:v>
      </x:c>
      <x:c r="H123" s="23" t="str">
        <x:v>vote 변경</x:v>
      </x:c>
      <x:c r="I123" s="23" t="str">
        <x:v>insufficient</x:v>
      </x:c>
      <x:c r="J123" s="23" t="n">
        <x:v>1</x:v>
      </x:c>
      <x:c r="K123" s="23" t="n">
        <x:v>0</x:v>
      </x:c>
      <x:c r="L123" s="23" t="n">
        <x:v>1</x:v>
      </x:c>
      <x:c r="M123" s="68" t="n">
        <x:v>1</x:v>
      </x:c>
      <x:c r="N123" s="68" t="n">
        <x:v>0</x:v>
      </x:c>
      <x:c r="O123" s="23" t="str">
        <x:v>insufficient</x:v>
      </x:c>
      <x:c r="P123" s="23" t="str">
        <x:v>none</x:v>
      </x:c>
      <x:c r="Q123" s="23" t="str">
        <x:v>—</x:v>
      </x:c>
      <x:c r="R123" s="23" t="str">
        <x:v>—</x:v>
      </x:c>
      <x:c r="S123" s="23" t="str">
        <x:v>—</x:v>
      </x:c>
      <x:c r="T123" s="23" t="str">
        <x:v>—</x:v>
      </x:c>
      <x:c r="U123" s="23" t="str">
        <x:v>bullish</x:v>
      </x:c>
    </x:row>
    <x:row r="124">
      <x:c r="A124" s="23" t="n">
        <x:v>97</x:v>
      </x:c>
      <x:c r="B124" s="23" t="str">
        <x:v>LITE</x:v>
      </x:c>
      <x:c r="C124" s="53" t="n">
        <x:v>46217.621724537035</x:v>
      </x:c>
      <x:c r="D124" s="23" t="str">
        <x:v>aleabitoreddit</x:v>
      </x:c>
      <x:c r="E124" s="23" t="str">
        <x:v>neutral</x:v>
      </x:c>
      <x:c r="F124" s="34" t="n">
        <x:v>0.5</x:v>
      </x:c>
      <x:c r="G124" s="23" t="str">
        <x:v>needs_review</x:v>
      </x:c>
      <x:c r="H124" s="23" t="str">
        <x:v>근거만</x:v>
      </x:c>
      <x:c r="I124" s="23" t="str">
        <x:v>insufficient</x:v>
      </x:c>
      <x:c r="J124" s="23" t="n">
        <x:v>1</x:v>
      </x:c>
      <x:c r="K124" s="23" t="n">
        <x:v>0</x:v>
      </x:c>
      <x:c r="L124" s="23" t="n">
        <x:v>1</x:v>
      </x:c>
      <x:c r="M124" s="68" t="n">
        <x:v>1</x:v>
      </x:c>
      <x:c r="N124" s="68" t="n">
        <x:v>0</x:v>
      </x:c>
      <x:c r="O124" s="23" t="str">
        <x:v>insufficient</x:v>
      </x:c>
      <x:c r="P124" s="23" t="str">
        <x:v>none</x:v>
      </x:c>
      <x:c r="Q124" s="23" t="str">
        <x:v>—</x:v>
      </x:c>
      <x:c r="R124" s="23" t="str">
        <x:v>—</x:v>
      </x:c>
      <x:c r="S124" s="23" t="str">
        <x:v>—</x:v>
      </x:c>
      <x:c r="T124" s="23" t="str">
        <x:v>—</x:v>
      </x:c>
      <x:c r="U124" s="23" t="str">
        <x:v>bullish</x:v>
      </x:c>
    </x:row>
    <x:row r="125">
      <x:c r="A125" s="23" t="n">
        <x:v>106</x:v>
      </x:c>
      <x:c r="B125" s="23" t="str">
        <x:v>LITE</x:v>
      </x:c>
      <x:c r="C125" s="53" t="n">
        <x:v>46218.63043981481</x:v>
      </x:c>
      <x:c r="D125" s="23" t="str">
        <x:v>aleabitoreddit</x:v>
      </x:c>
      <x:c r="E125" s="23" t="str">
        <x:v>bullish</x:v>
      </x:c>
      <x:c r="F125" s="34" t="n">
        <x:v>0.9</x:v>
      </x:c>
      <x:c r="G125" s="23" t="str">
        <x:v>auto</x:v>
      </x:c>
      <x:c r="H125" s="23" t="str">
        <x:v>vote 변경</x:v>
      </x:c>
      <x:c r="I125" s="23" t="str">
        <x:v>insufficient</x:v>
      </x:c>
      <x:c r="J125" s="23" t="n">
        <x:v>1</x:v>
      </x:c>
      <x:c r="K125" s="23" t="n">
        <x:v>0</x:v>
      </x:c>
      <x:c r="L125" s="23" t="n">
        <x:v>1</x:v>
      </x:c>
      <x:c r="M125" s="68" t="n">
        <x:v>1</x:v>
      </x:c>
      <x:c r="N125" s="68" t="n">
        <x:v>0</x:v>
      </x:c>
      <x:c r="O125" s="23" t="str">
        <x:v>insufficient</x:v>
      </x:c>
      <x:c r="P125" s="23" t="str">
        <x:v>none</x:v>
      </x:c>
      <x:c r="Q125" s="23" t="str">
        <x:v>—</x:v>
      </x:c>
      <x:c r="R125" s="23" t="str">
        <x:v>—</x:v>
      </x:c>
      <x:c r="S125" s="23" t="str">
        <x:v>—</x:v>
      </x:c>
      <x:c r="T125" s="23" t="str">
        <x:v>—</x:v>
      </x:c>
      <x:c r="U125" s="23" t="str">
        <x:v>bullish</x:v>
      </x:c>
    </x:row>
    <x:row r="126">
      <x:c r="A126" s="23" t="n">
        <x:v>125</x:v>
      </x:c>
      <x:c r="B126" s="23" t="str">
        <x:v>LITE</x:v>
      </x:c>
      <x:c r="C126" s="53" t="n">
        <x:v>46219.634363425925</x:v>
      </x:c>
      <x:c r="D126" s="23" t="str">
        <x:v>aleabitoreddit</x:v>
      </x:c>
      <x:c r="E126" s="23" t="str">
        <x:v>bullish</x:v>
      </x:c>
      <x:c r="F126" s="34" t="n">
        <x:v>0.9</x:v>
      </x:c>
      <x:c r="G126" s="23" t="str">
        <x:v>auto</x:v>
      </x:c>
      <x:c r="H126" s="23" t="str">
        <x:v>vote 변경</x:v>
      </x:c>
      <x:c r="I126" s="23" t="str">
        <x:v>insufficient</x:v>
      </x:c>
      <x:c r="J126" s="23" t="n">
        <x:v>1</x:v>
      </x:c>
      <x:c r="K126" s="23" t="n">
        <x:v>0</x:v>
      </x:c>
      <x:c r="L126" s="23" t="n">
        <x:v>1</x:v>
      </x:c>
      <x:c r="M126" s="68" t="n">
        <x:v>1</x:v>
      </x:c>
      <x:c r="N126" s="68" t="n">
        <x:v>0</x:v>
      </x:c>
      <x:c r="O126" s="23" t="str">
        <x:v>insufficient</x:v>
      </x:c>
      <x:c r="P126" s="23" t="str">
        <x:v>none</x:v>
      </x:c>
      <x:c r="Q126" s="23" t="str">
        <x:v>—</x:v>
      </x:c>
      <x:c r="R126" s="23" t="str">
        <x:v>—</x:v>
      </x:c>
      <x:c r="S126" s="23" t="str">
        <x:v>—</x:v>
      </x:c>
      <x:c r="T126" s="23" t="str">
        <x:v>—</x:v>
      </x:c>
      <x:c r="U126" s="23" t="str">
        <x:v>bullish</x:v>
      </x:c>
    </x:row>
    <x:row r="127">
      <x:c r="A127" s="23" t="n">
        <x:v>136</x:v>
      </x:c>
      <x:c r="B127" s="23" t="str">
        <x:v>LITE</x:v>
      </x:c>
      <x:c r="C127" s="53" t="n">
        <x:v>46219.6646412037</x:v>
      </x:c>
      <x:c r="D127" s="23" t="str">
        <x:v>aleabitoreddit</x:v>
      </x:c>
      <x:c r="E127" s="23" t="str">
        <x:v>bullish</x:v>
      </x:c>
      <x:c r="F127" s="34" t="n">
        <x:v>0.7</x:v>
      </x:c>
      <x:c r="G127" s="23" t="str">
        <x:v>needs_review</x:v>
      </x:c>
      <x:c r="H127" s="23" t="str">
        <x:v>근거만</x:v>
      </x:c>
      <x:c r="I127" s="23" t="str">
        <x:v>insufficient</x:v>
      </x:c>
      <x:c r="J127" s="23" t="n">
        <x:v>1</x:v>
      </x:c>
      <x:c r="K127" s="23" t="n">
        <x:v>0</x:v>
      </x:c>
      <x:c r="L127" s="23" t="n">
        <x:v>1</x:v>
      </x:c>
      <x:c r="M127" s="68" t="n">
        <x:v>1</x:v>
      </x:c>
      <x:c r="N127" s="68" t="n">
        <x:v>0</x:v>
      </x:c>
      <x:c r="O127" s="23" t="str">
        <x:v>insufficient</x:v>
      </x:c>
      <x:c r="P127" s="23" t="str">
        <x:v>none</x:v>
      </x:c>
      <x:c r="Q127" s="23" t="str">
        <x:v>—</x:v>
      </x:c>
      <x:c r="R127" s="23" t="str">
        <x:v>—</x:v>
      </x:c>
      <x:c r="S127" s="23" t="str">
        <x:v>—</x:v>
      </x:c>
      <x:c r="T127" s="23" t="str">
        <x:v>—</x:v>
      </x:c>
      <x:c r="U127" s="23" t="str">
        <x:v>bullish</x:v>
      </x:c>
    </x:row>
    <x:row r="128">
      <x:c r="A128" s="23" t="n">
        <x:v>8</x:v>
      </x:c>
      <x:c r="B128" s="23" t="str">
        <x:v>LITE</x:v>
      </x:c>
      <x:c r="C128" s="53" t="n">
        <x:v>46221.011041666665</x:v>
      </x:c>
      <x:c r="D128" s="23" t="str">
        <x:v>aleabitoreddit</x:v>
      </x:c>
      <x:c r="E128" s="23" t="str">
        <x:v>bullish</x:v>
      </x:c>
      <x:c r="F128" s="34" t="n">
        <x:v>0.8</x:v>
      </x:c>
      <x:c r="G128" s="23" t="str">
        <x:v>auto</x:v>
      </x:c>
      <x:c r="H128" s="23" t="str">
        <x:v>vote 변경</x:v>
      </x:c>
      <x:c r="I128" s="23" t="str">
        <x:v>insufficient</x:v>
      </x:c>
      <x:c r="J128" s="23" t="n">
        <x:v>1</x:v>
      </x:c>
      <x:c r="K128" s="23" t="n">
        <x:v>0</x:v>
      </x:c>
      <x:c r="L128" s="23" t="n">
        <x:v>1</x:v>
      </x:c>
      <x:c r="M128" s="68" t="n">
        <x:v>1</x:v>
      </x:c>
      <x:c r="N128" s="68" t="n">
        <x:v>0</x:v>
      </x:c>
      <x:c r="O128" s="23" t="str">
        <x:v>insufficient</x:v>
      </x:c>
      <x:c r="P128" s="23" t="str">
        <x:v>none</x:v>
      </x:c>
      <x:c r="Q128" s="23" t="str">
        <x:v>—</x:v>
      </x:c>
      <x:c r="R128" s="23" t="str">
        <x:v>—</x:v>
      </x:c>
      <x:c r="S128" s="23" t="str">
        <x:v>—</x:v>
      </x:c>
      <x:c r="T128" s="23" t="str">
        <x:v>—</x:v>
      </x:c>
      <x:c r="U128" s="23" t="str">
        <x:v>bullish</x:v>
      </x:c>
    </x:row>
    <x:row r="129">
      <x:c r="A129" s="23" t="n">
        <x:v>1269</x:v>
      </x:c>
      <x:c r="B129" s="23" t="str">
        <x:v>LITE</x:v>
      </x:c>
      <x:c r="C129" s="53" t="n">
        <x:v>46222.59247685185</x:v>
      </x:c>
      <x:c r="D129" s="23" t="str">
        <x:v>StockSavvyShay</x:v>
      </x:c>
      <x:c r="E129" s="23" t="str">
        <x:v>neutral</x:v>
      </x:c>
      <x:c r="F129" s="34" t="n">
        <x:v>0.5</x:v>
      </x:c>
      <x:c r="G129" s="23" t="str">
        <x:v>needs_review</x:v>
      </x:c>
      <x:c r="H129" s="23" t="str">
        <x:v>근거만</x:v>
      </x:c>
      <x:c r="I129" s="23" t="str">
        <x:v>insufficient</x:v>
      </x:c>
      <x:c r="J129" s="23" t="n">
        <x:v>1</x:v>
      </x:c>
      <x:c r="K129" s="23" t="n">
        <x:v>0</x:v>
      </x:c>
      <x:c r="L129" s="23" t="n">
        <x:v>1</x:v>
      </x:c>
      <x:c r="M129" s="68" t="n">
        <x:v>1</x:v>
      </x:c>
      <x:c r="N129" s="68" t="n">
        <x:v>0</x:v>
      </x:c>
      <x:c r="O129" s="23" t="str">
        <x:v>insufficient</x:v>
      </x:c>
      <x:c r="P129" s="23" t="str">
        <x:v>none</x:v>
      </x:c>
      <x:c r="Q129" s="23" t="str">
        <x:v>—</x:v>
      </x:c>
      <x:c r="R129" s="23" t="str">
        <x:v>—</x:v>
      </x:c>
      <x:c r="S129" s="23" t="str">
        <x:v>—</x:v>
      </x:c>
      <x:c r="T129" s="23" t="str">
        <x:v>—</x:v>
      </x:c>
      <x:c r="U129" s="23" t="str">
        <x:v>bullish</x:v>
      </x:c>
    </x:row>
    <x:row r="130">
      <x:c r="A130" s="23" t="n">
        <x:v>1428</x:v>
      </x:c>
      <x:c r="B130" s="23" t="str">
        <x:v>LITE</x:v>
      </x:c>
      <x:c r="C130" s="53" t="n">
        <x:v>46224.34239583334</x:v>
      </x:c>
      <x:c r="D130" s="23" t="str">
        <x:v>aleabitoreddit</x:v>
      </x:c>
      <x:c r="E130" s="23" t="str">
        <x:v>bullish</x:v>
      </x:c>
      <x:c r="F130" s="34" t="n">
        <x:v>0.7</x:v>
      </x:c>
      <x:c r="G130" s="23" t="str">
        <x:v>needs_review</x:v>
      </x:c>
      <x:c r="H130" s="23" t="str">
        <x:v>근거만</x:v>
      </x:c>
      <x:c r="I130" s="23" t="str">
        <x:v>insufficient</x:v>
      </x:c>
      <x:c r="J130" s="23" t="n">
        <x:v>1</x:v>
      </x:c>
      <x:c r="K130" s="23" t="n">
        <x:v>0</x:v>
      </x:c>
      <x:c r="L130" s="23" t="n">
        <x:v>1</x:v>
      </x:c>
      <x:c r="M130" s="68" t="n">
        <x:v>1</x:v>
      </x:c>
      <x:c r="N130" s="68" t="n">
        <x:v>0</x:v>
      </x:c>
      <x:c r="O130" s="23" t="str">
        <x:v>insufficient</x:v>
      </x:c>
      <x:c r="P130" s="23" t="str">
        <x:v>none</x:v>
      </x:c>
      <x:c r="Q130" s="23" t="str">
        <x:v>—</x:v>
      </x:c>
      <x:c r="R130" s="23" t="str">
        <x:v>—</x:v>
      </x:c>
      <x:c r="S130" s="23" t="str">
        <x:v>—</x:v>
      </x:c>
      <x:c r="T130" s="23" t="str">
        <x:v>—</x:v>
      </x:c>
      <x:c r="U130" s="23" t="str">
        <x:v>bullish</x:v>
      </x:c>
    </x:row>
    <x:row r="131">
      <x:c r="A131" s="23" t="n">
        <x:v>1647</x:v>
      </x:c>
      <x:c r="B131" s="23" t="str">
        <x:v>LITE</x:v>
      </x:c>
      <x:c r="C131" s="53" t="n">
        <x:v>46225.85266203704</x:v>
      </x:c>
      <x:c r="D131" s="23" t="str">
        <x:v>aleabitoreddit</x:v>
      </x:c>
      <x:c r="E131" s="23" t="str">
        <x:v>bullish</x:v>
      </x:c>
      <x:c r="F131" s="34" t="n">
        <x:v>0.8</x:v>
      </x:c>
      <x:c r="G131" s="23" t="str">
        <x:v>auto</x:v>
      </x:c>
      <x:c r="H131" s="23" t="str">
        <x:v>vote 변경</x:v>
      </x:c>
      <x:c r="I131" s="23" t="str">
        <x:v>insufficient</x:v>
      </x:c>
      <x:c r="J131" s="23" t="n">
        <x:v>1</x:v>
      </x:c>
      <x:c r="K131" s="23" t="n">
        <x:v>0</x:v>
      </x:c>
      <x:c r="L131" s="23" t="n">
        <x:v>1</x:v>
      </x:c>
      <x:c r="M131" s="68" t="n">
        <x:v>1</x:v>
      </x:c>
      <x:c r="N131" s="68" t="n">
        <x:v>0</x:v>
      </x:c>
      <x:c r="O131" s="23" t="str">
        <x:v>insufficient</x:v>
      </x:c>
      <x:c r="P131" s="23" t="str">
        <x:v>none</x:v>
      </x:c>
      <x:c r="Q131" s="23" t="str">
        <x:v>—</x:v>
      </x:c>
      <x:c r="R131" s="23" t="str">
        <x:v>—</x:v>
      </x:c>
      <x:c r="S131" s="23" t="str">
        <x:v>—</x:v>
      </x:c>
      <x:c r="T131" s="23" t="str">
        <x:v>—</x:v>
      </x:c>
      <x:c r="U131" s="23" t="str">
        <x:v>bullish</x:v>
      </x:c>
    </x:row>
    <x:row r="132">
      <x:c r="A132" s="23" t="n">
        <x:v>1709</x:v>
      </x:c>
      <x:c r="B132" s="23" t="str">
        <x:v>LITE</x:v>
      </x:c>
      <x:c r="C132" s="53" t="n">
        <x:v>46226.20112268518</x:v>
      </x:c>
      <x:c r="D132" s="23" t="str">
        <x:v>aleabitoreddit</x:v>
      </x:c>
      <x:c r="E132" s="23" t="str">
        <x:v>bullish</x:v>
      </x:c>
      <x:c r="F132" s="34" t="n">
        <x:v>0.6</x:v>
      </x:c>
      <x:c r="G132" s="23" t="str">
        <x:v>needs_review</x:v>
      </x:c>
      <x:c r="H132" s="23" t="str">
        <x:v>근거만</x:v>
      </x:c>
      <x:c r="I132" s="23" t="str">
        <x:v>insufficient</x:v>
      </x:c>
      <x:c r="J132" s="23" t="n">
        <x:v>1</x:v>
      </x:c>
      <x:c r="K132" s="23" t="n">
        <x:v>0</x:v>
      </x:c>
      <x:c r="L132" s="23" t="n">
        <x:v>1</x:v>
      </x:c>
      <x:c r="M132" s="68" t="n">
        <x:v>1</x:v>
      </x:c>
      <x:c r="N132" s="68" t="n">
        <x:v>0</x:v>
      </x:c>
      <x:c r="O132" s="23" t="str">
        <x:v>insufficient</x:v>
      </x:c>
      <x:c r="P132" s="23" t="str">
        <x:v>none</x:v>
      </x:c>
      <x:c r="Q132" s="23" t="str">
        <x:v>—</x:v>
      </x:c>
      <x:c r="R132" s="23" t="str">
        <x:v>—</x:v>
      </x:c>
      <x:c r="S132" s="23" t="str">
        <x:v>—</x:v>
      </x:c>
      <x:c r="T132" s="23" t="str">
        <x:v>—</x:v>
      </x:c>
      <x:c r="U132" s="23" t="str">
        <x:v>bullish</x:v>
      </x:c>
    </x:row>
    <x:row r="133">
      <x:c r="A133" s="23" t="n">
        <x:v>1820</x:v>
      </x:c>
      <x:c r="B133" s="23" t="str">
        <x:v>LITE</x:v>
      </x:c>
      <x:c r="C133" s="53" t="n">
        <x:v>46227.03760416667</x:v>
      </x:c>
      <x:c r="D133" s="23" t="str">
        <x:v>aleabitoreddit</x:v>
      </x:c>
      <x:c r="E133" s="23" t="str">
        <x:v>neutral</x:v>
      </x:c>
      <x:c r="F133" s="34" t="n">
        <x:v>0.7</x:v>
      </x:c>
      <x:c r="G133" s="23" t="str">
        <x:v>needs_review</x:v>
      </x:c>
      <x:c r="H133" s="23" t="str">
        <x:v>근거만</x:v>
      </x:c>
      <x:c r="I133" s="23" t="str">
        <x:v>insufficient</x:v>
      </x:c>
      <x:c r="J133" s="23" t="n">
        <x:v>1</x:v>
      </x:c>
      <x:c r="K133" s="23" t="n">
        <x:v>0</x:v>
      </x:c>
      <x:c r="L133" s="23" t="n">
        <x:v>1</x:v>
      </x:c>
      <x:c r="M133" s="68" t="n">
        <x:v>1</x:v>
      </x:c>
      <x:c r="N133" s="68" t="n">
        <x:v>0</x:v>
      </x:c>
      <x:c r="O133" s="23" t="str">
        <x:v>insufficient</x:v>
      </x:c>
      <x:c r="P133" s="23" t="str">
        <x:v>none</x:v>
      </x:c>
      <x:c r="Q133" s="23" t="str">
        <x:v>—</x:v>
      </x:c>
      <x:c r="R133" s="23" t="str">
        <x:v>—</x:v>
      </x:c>
      <x:c r="S133" s="23" t="str">
        <x:v>—</x:v>
      </x:c>
      <x:c r="T133" s="23" t="str">
        <x:v>—</x:v>
      </x:c>
      <x:c r="U133" s="23" t="str">
        <x:v>bullish</x:v>
      </x:c>
    </x:row>
    <x:row r="134">
      <x:c r="A134" s="23" t="n">
        <x:v>2055</x:v>
      </x:c>
      <x:c r="B134" s="23" t="str">
        <x:v>LITE</x:v>
      </x:c>
      <x:c r="C134" s="53" t="n">
        <x:v>46229.584965277776</x:v>
      </x:c>
      <x:c r="D134" s="23" t="str">
        <x:v>StockSavvyShay</x:v>
      </x:c>
      <x:c r="E134" s="23" t="str">
        <x:v>bullish</x:v>
      </x:c>
      <x:c r="F134" s="34" t="n">
        <x:v>0.8</x:v>
      </x:c>
      <x:c r="G134" s="23" t="str">
        <x:v>auto</x:v>
      </x:c>
      <x:c r="H134" s="23" t="str">
        <x:v>vote 변경</x:v>
      </x:c>
      <x:c r="I134" s="23" t="str">
        <x:v>insufficient</x:v>
      </x:c>
      <x:c r="J134" s="23" t="n">
        <x:v>2</x:v>
      </x:c>
      <x:c r="K134" s="23" t="n">
        <x:v>0</x:v>
      </x:c>
      <x:c r="L134" s="23" t="n">
        <x:v>2</x:v>
      </x:c>
      <x:c r="M134" s="68" t="n">
        <x:v>1</x:v>
      </x:c>
      <x:c r="N134" s="68" t="n">
        <x:v>0</x:v>
      </x:c>
      <x:c r="O134" s="23" t="str">
        <x:v>positive</x:v>
      </x:c>
      <x:c r="P134" s="23" t="str">
        <x:v>entry</x:v>
      </x:c>
      <x:c r="Q134" s="23" t="str">
        <x:v>—</x:v>
      </x:c>
      <x:c r="R134" s="23" t="str">
        <x:v>—</x:v>
      </x:c>
      <x:c r="S134" s="23" t="str">
        <x:v>—</x:v>
      </x:c>
      <x:c r="T134" s="23" t="str">
        <x:v>bullish</x:v>
      </x:c>
      <x:c r="U134" s="23" t="str">
        <x:v>bullish</x:v>
      </x:c>
    </x:row>
    <x:row r="135">
      <x:c r="A135" s="23" t="n">
        <x:v>2071</x:v>
      </x:c>
      <x:c r="B135" s="23" t="str">
        <x:v>LITE</x:v>
      </x:c>
      <x:c r="C135" s="53" t="n">
        <x:v>46229.6697337963</x:v>
      </x:c>
      <x:c r="D135" s="23" t="str">
        <x:v>StockSavvyShay</x:v>
      </x:c>
      <x:c r="E135" s="23" t="str">
        <x:v>bullish</x:v>
      </x:c>
      <x:c r="F135" s="34" t="n">
        <x:v>0.8</x:v>
      </x:c>
      <x:c r="G135" s="23" t="str">
        <x:v>auto</x:v>
      </x:c>
      <x:c r="H135" s="23" t="str">
        <x:v>vote 변경</x:v>
      </x:c>
      <x:c r="I135" s="23" t="str">
        <x:v>positive</x:v>
      </x:c>
      <x:c r="J135" s="23" t="n">
        <x:v>2</x:v>
      </x:c>
      <x:c r="K135" s="23" t="n">
        <x:v>0</x:v>
      </x:c>
      <x:c r="L135" s="23" t="n">
        <x:v>2</x:v>
      </x:c>
      <x:c r="M135" s="68" t="n">
        <x:v>1</x:v>
      </x:c>
      <x:c r="N135" s="68" t="n">
        <x:v>0</x:v>
      </x:c>
      <x:c r="O135" s="23" t="str">
        <x:v>positive</x:v>
      </x:c>
      <x:c r="P135" s="23" t="str">
        <x:v>none</x:v>
      </x:c>
      <x:c r="Q135" s="23" t="str">
        <x:v>—</x:v>
      </x:c>
      <x:c r="R135" s="23" t="str">
        <x:v>—</x:v>
      </x:c>
      <x:c r="S135" s="23" t="str">
        <x:v>—</x:v>
      </x:c>
      <x:c r="T135" s="23" t="str">
        <x:v>bullish</x:v>
      </x:c>
      <x:c r="U135" s="23" t="str">
        <x:v>bullish</x:v>
      </x:c>
    </x:row>
    <x:row r="136">
      <x:c r="A136" s="23" t="n">
        <x:v>2288</x:v>
      </x:c>
      <x:c r="B136" s="23" t="str">
        <x:v>LITE</x:v>
      </x:c>
      <x:c r="C136" s="53" t="n">
        <x:v>46231.93434027778</x:v>
      </x:c>
      <x:c r="D136" s="23" t="str">
        <x:v>aleabitoreddit</x:v>
      </x:c>
      <x:c r="E136" s="23" t="str">
        <x:v>bullish</x:v>
      </x:c>
      <x:c r="F136" s="34" t="n">
        <x:v>0.7</x:v>
      </x:c>
      <x:c r="G136" s="23" t="str">
        <x:v>needs_review</x:v>
      </x:c>
      <x:c r="H136" s="23" t="str">
        <x:v>근거만</x:v>
      </x:c>
      <x:c r="I136" s="23" t="str">
        <x:v>positive</x:v>
      </x:c>
      <x:c r="J136" s="23" t="n">
        <x:v>2</x:v>
      </x:c>
      <x:c r="K136" s="23" t="n">
        <x:v>0</x:v>
      </x:c>
      <x:c r="L136" s="23" t="n">
        <x:v>2</x:v>
      </x:c>
      <x:c r="M136" s="68" t="n">
        <x:v>1</x:v>
      </x:c>
      <x:c r="N136" s="68" t="n">
        <x:v>0</x:v>
      </x:c>
      <x:c r="O136" s="23" t="str">
        <x:v>positive</x:v>
      </x:c>
      <x:c r="P136" s="23" t="str">
        <x:v>none</x:v>
      </x:c>
      <x:c r="Q136" s="23" t="str">
        <x:v>—</x:v>
      </x:c>
      <x:c r="R136" s="23" t="str">
        <x:v>—</x:v>
      </x:c>
      <x:c r="S136" s="23" t="str">
        <x:v>—</x:v>
      </x:c>
      <x:c r="T136" s="23" t="str">
        <x:v>bullish</x:v>
      </x:c>
      <x:c r="U136" s="23" t="str">
        <x:v>bullish</x:v>
      </x:c>
    </x:row>
    <x:row r="137">
      <x:c r="A137" s="23" t="n">
        <x:v>2346</x:v>
      </x:c>
      <x:c r="B137" s="23" t="str">
        <x:v>LITE</x:v>
      </x:c>
      <x:c r="C137" s="53" t="n">
        <x:v>46232.71366898148</x:v>
      </x:c>
      <x:c r="D137" s="23" t="str">
        <x:v>aleabitoreddit</x:v>
      </x:c>
      <x:c r="E137" s="23" t="str">
        <x:v>bullish</x:v>
      </x:c>
      <x:c r="F137" s="34" t="n">
        <x:v>0.8</x:v>
      </x:c>
      <x:c r="G137" s="23" t="str">
        <x:v>auto</x:v>
      </x:c>
      <x:c r="H137" s="23" t="str">
        <x:v>vote 변경</x:v>
      </x:c>
      <x:c r="I137" s="23" t="str">
        <x:v>positive</x:v>
      </x:c>
      <x:c r="J137" s="23" t="n">
        <x:v>2</x:v>
      </x:c>
      <x:c r="K137" s="23" t="n">
        <x:v>0</x:v>
      </x:c>
      <x:c r="L137" s="23" t="n">
        <x:v>2</x:v>
      </x:c>
      <x:c r="M137" s="68" t="n">
        <x:v>1</x:v>
      </x:c>
      <x:c r="N137" s="68" t="n">
        <x:v>0</x:v>
      </x:c>
      <x:c r="O137" s="23" t="str">
        <x:v>positive</x:v>
      </x:c>
      <x:c r="P137" s="23" t="str">
        <x:v>none</x:v>
      </x:c>
      <x:c r="Q137" s="23" t="str">
        <x:v>—</x:v>
      </x:c>
      <x:c r="R137" s="23" t="str">
        <x:v>—</x:v>
      </x:c>
      <x:c r="S137" s="23" t="str">
        <x:v>—</x:v>
      </x:c>
      <x:c r="T137" s="23" t="str">
        <x:v>bullish</x:v>
      </x:c>
      <x:c r="U137" s="23" t="str">
        <x:v>bullish</x:v>
      </x:c>
    </x:row>
    <x:row r="138">
      <x:c r="A138" s="23" t="n">
        <x:v>2352</x:v>
      </x:c>
      <x:c r="B138" s="23" t="str">
        <x:v>LITE</x:v>
      </x:c>
      <x:c r="C138" s="53" t="n">
        <x:v>46232.72467592593</x:v>
      </x:c>
      <x:c r="D138" s="23" t="str">
        <x:v>aleabitoreddit</x:v>
      </x:c>
      <x:c r="E138" s="23" t="str">
        <x:v>bullish</x:v>
      </x:c>
      <x:c r="F138" s="34" t="n">
        <x:v>0.8</x:v>
      </x:c>
      <x:c r="G138" s="23" t="str">
        <x:v>auto</x:v>
      </x:c>
      <x:c r="H138" s="23" t="str">
        <x:v>vote 변경</x:v>
      </x:c>
      <x:c r="I138" s="23" t="str">
        <x:v>positive</x:v>
      </x:c>
      <x:c r="J138" s="23" t="n">
        <x:v>2</x:v>
      </x:c>
      <x:c r="K138" s="23" t="n">
        <x:v>0</x:v>
      </x:c>
      <x:c r="L138" s="23" t="n">
        <x:v>2</x:v>
      </x:c>
      <x:c r="M138" s="68" t="n">
        <x:v>1</x:v>
      </x:c>
      <x:c r="N138" s="68" t="n">
        <x:v>0</x:v>
      </x:c>
      <x:c r="O138" s="23" t="str">
        <x:v>positive</x:v>
      </x:c>
      <x:c r="P138" s="23" t="str">
        <x:v>none</x:v>
      </x:c>
      <x:c r="Q138" s="23" t="str">
        <x:v>—</x:v>
      </x:c>
      <x:c r="R138" s="23" t="str">
        <x:v>—</x:v>
      </x:c>
      <x:c r="S138" s="23" t="str">
        <x:v>—</x:v>
      </x:c>
      <x:c r="T138" s="23" t="str">
        <x:v>bullish</x:v>
      </x:c>
      <x:c r="U138" s="23" t="str">
        <x:v>bullish</x:v>
      </x:c>
    </x:row>
    <x:row r="139">
      <x:c r="A139" s="23" t="n">
        <x:v>2358</x:v>
      </x:c>
      <x:c r="B139" s="23" t="str">
        <x:v>LITE</x:v>
      </x:c>
      <x:c r="C139" s="53" t="n">
        <x:v>46232.7328125</x:v>
      </x:c>
      <x:c r="D139" s="23" t="str">
        <x:v>aleabitoreddit</x:v>
      </x:c>
      <x:c r="E139" s="23" t="str">
        <x:v>neutral</x:v>
      </x:c>
      <x:c r="F139" s="34" t="n">
        <x:v>0.7</x:v>
      </x:c>
      <x:c r="G139" s="23" t="str">
        <x:v>needs_review</x:v>
      </x:c>
      <x:c r="H139" s="23" t="str">
        <x:v>근거만</x:v>
      </x:c>
      <x:c r="I139" s="23" t="str">
        <x:v>positive</x:v>
      </x:c>
      <x:c r="J139" s="23" t="n">
        <x:v>2</x:v>
      </x:c>
      <x:c r="K139" s="23" t="n">
        <x:v>0</x:v>
      </x:c>
      <x:c r="L139" s="23" t="n">
        <x:v>2</x:v>
      </x:c>
      <x:c r="M139" s="68" t="n">
        <x:v>1</x:v>
      </x:c>
      <x:c r="N139" s="68" t="n">
        <x:v>0</x:v>
      </x:c>
      <x:c r="O139" s="23" t="str">
        <x:v>positive</x:v>
      </x:c>
      <x:c r="P139" s="23" t="str">
        <x:v>none</x:v>
      </x:c>
      <x:c r="Q139" s="23" t="str">
        <x:v>—</x:v>
      </x:c>
      <x:c r="R139" s="23" t="str">
        <x:v>—</x:v>
      </x:c>
      <x:c r="S139" s="23" t="str">
        <x:v>—</x:v>
      </x:c>
      <x:c r="T139" s="23" t="str">
        <x:v>bullish</x:v>
      </x:c>
      <x:c r="U139" s="23" t="str">
        <x:v>bullish</x:v>
      </x:c>
    </x:row>
    <x:row r="140">
      <x:c r="A140" s="23" t="n">
        <x:v>2440</x:v>
      </x:c>
      <x:c r="B140" s="23" t="str">
        <x:v>LITE</x:v>
      </x:c>
      <x:c r="C140" s="53" t="n">
        <x:v>46232.89413194444</x:v>
      </x:c>
      <x:c r="D140" s="23" t="str">
        <x:v>aleabitoreddit</x:v>
      </x:c>
      <x:c r="E140" s="23" t="str">
        <x:v>neutral</x:v>
      </x:c>
      <x:c r="F140" s="34" t="n">
        <x:v>0.5</x:v>
      </x:c>
      <x:c r="G140" s="23" t="str">
        <x:v>needs_review</x:v>
      </x:c>
      <x:c r="H140" s="23" t="str">
        <x:v>근거만</x:v>
      </x:c>
      <x:c r="I140" s="23" t="str">
        <x:v>positive</x:v>
      </x:c>
      <x:c r="J140" s="23" t="n">
        <x:v>2</x:v>
      </x:c>
      <x:c r="K140" s="23" t="n">
        <x:v>0</x:v>
      </x:c>
      <x:c r="L140" s="23" t="n">
        <x:v>2</x:v>
      </x:c>
      <x:c r="M140" s="68" t="n">
        <x:v>1</x:v>
      </x:c>
      <x:c r="N140" s="68" t="n">
        <x:v>0</x:v>
      </x:c>
      <x:c r="O140" s="23" t="str">
        <x:v>positive</x:v>
      </x:c>
      <x:c r="P140" s="23" t="str">
        <x:v>none</x:v>
      </x:c>
      <x:c r="Q140" s="23" t="str">
        <x:v>—</x:v>
      </x:c>
      <x:c r="R140" s="23" t="str">
        <x:v>—</x:v>
      </x:c>
      <x:c r="S140" s="23" t="str">
        <x:v>—</x:v>
      </x:c>
      <x:c r="T140" s="23" t="str">
        <x:v>bullish</x:v>
      </x:c>
      <x:c r="U140" s="23" t="str">
        <x:v>bullish</x:v>
      </x:c>
    </x:row>
    <x:row r="141">
      <x:c r="A141" s="23" t="n">
        <x:v>2445</x:v>
      </x:c>
      <x:c r="B141" s="23" t="str">
        <x:v>LITE</x:v>
      </x:c>
      <x:c r="C141" s="53" t="n">
        <x:v>46232.90326388889</x:v>
      </x:c>
      <x:c r="D141" s="23" t="str">
        <x:v>StockSavvyShay</x:v>
      </x:c>
      <x:c r="E141" s="23" t="str">
        <x:v>neutral</x:v>
      </x:c>
      <x:c r="F141" s="34" t="n">
        <x:v>0.5</x:v>
      </x:c>
      <x:c r="G141" s="23" t="str">
        <x:v>needs_review</x:v>
      </x:c>
      <x:c r="H141" s="23" t="str">
        <x:v>근거만</x:v>
      </x:c>
      <x:c r="I141" s="23" t="str">
        <x:v>positive</x:v>
      </x:c>
      <x:c r="J141" s="23" t="n">
        <x:v>2</x:v>
      </x:c>
      <x:c r="K141" s="23" t="n">
        <x:v>0</x:v>
      </x:c>
      <x:c r="L141" s="23" t="n">
        <x:v>2</x:v>
      </x:c>
      <x:c r="M141" s="68" t="n">
        <x:v>1</x:v>
      </x:c>
      <x:c r="N141" s="68" t="n">
        <x:v>0</x:v>
      </x:c>
      <x:c r="O141" s="23" t="str">
        <x:v>positive</x:v>
      </x:c>
      <x:c r="P141" s="23" t="str">
        <x:v>none</x:v>
      </x:c>
      <x:c r="Q141" s="23" t="str">
        <x:v>—</x:v>
      </x:c>
      <x:c r="R141" s="23" t="str">
        <x:v>—</x:v>
      </x:c>
      <x:c r="S141" s="23" t="str">
        <x:v>—</x:v>
      </x:c>
      <x:c r="T141" s="23" t="str">
        <x:v>bullish</x:v>
      </x:c>
      <x:c r="U141" s="23" t="str">
        <x:v>bullish</x:v>
      </x:c>
    </x:row>
    <x:row r="142">
      <x:c r="A142" s="23" t="n">
        <x:v>2449</x:v>
      </x:c>
      <x:c r="B142" s="23" t="str">
        <x:v>LITE</x:v>
      </x:c>
      <x:c r="C142" s="53" t="n">
        <x:v>46232.90335648148</x:v>
      </x:c>
      <x:c r="D142" s="23" t="str">
        <x:v>aleabitoreddit</x:v>
      </x:c>
      <x:c r="E142" s="23" t="str">
        <x:v>neutral</x:v>
      </x:c>
      <x:c r="F142" s="34" t="n">
        <x:v>0.5</x:v>
      </x:c>
      <x:c r="G142" s="23" t="str">
        <x:v>needs_review</x:v>
      </x:c>
      <x:c r="H142" s="23" t="str">
        <x:v>근거만</x:v>
      </x:c>
      <x:c r="I142" s="23" t="str">
        <x:v>positive</x:v>
      </x:c>
      <x:c r="J142" s="23" t="n">
        <x:v>2</x:v>
      </x:c>
      <x:c r="K142" s="23" t="n">
        <x:v>0</x:v>
      </x:c>
      <x:c r="L142" s="23" t="n">
        <x:v>2</x:v>
      </x:c>
      <x:c r="M142" s="68" t="n">
        <x:v>1</x:v>
      </x:c>
      <x:c r="N142" s="68" t="n">
        <x:v>0</x:v>
      </x:c>
      <x:c r="O142" s="23" t="str">
        <x:v>positive</x:v>
      </x:c>
      <x:c r="P142" s="23" t="str">
        <x:v>none</x:v>
      </x:c>
      <x:c r="Q142" s="23" t="str">
        <x:v>—</x:v>
      </x:c>
      <x:c r="R142" s="23" t="str">
        <x:v>—</x:v>
      </x:c>
      <x:c r="S142" s="23" t="str">
        <x:v>—</x:v>
      </x:c>
      <x:c r="T142" s="23" t="str">
        <x:v>bullish</x:v>
      </x:c>
      <x:c r="U142" s="23" t="str">
        <x:v>bullish</x:v>
      </x:c>
    </x:row>
    <x:row r="143">
      <x:c r="A143" s="23" t="n">
        <x:v>2653</x:v>
      </x:c>
      <x:c r="B143" s="23" t="str">
        <x:v>LITE</x:v>
      </x:c>
      <x:c r="C143" s="53" t="n">
        <x:v>46234.30165509259</x:v>
      </x:c>
      <x:c r="D143" s="23" t="str">
        <x:v>aleabitoreddit</x:v>
      </x:c>
      <x:c r="E143" s="23" t="str">
        <x:v>neutral</x:v>
      </x:c>
      <x:c r="F143" s="34" t="n">
        <x:v>0.5</x:v>
      </x:c>
      <x:c r="G143" s="23" t="str">
        <x:v>needs_review</x:v>
      </x:c>
      <x:c r="H143" s="23" t="str">
        <x:v>근거만</x:v>
      </x:c>
      <x:c r="I143" s="23" t="str">
        <x:v>positive</x:v>
      </x:c>
      <x:c r="J143" s="23" t="n">
        <x:v>2</x:v>
      </x:c>
      <x:c r="K143" s="23" t="n">
        <x:v>0</x:v>
      </x:c>
      <x:c r="L143" s="23" t="n">
        <x:v>2</x:v>
      </x:c>
      <x:c r="M143" s="68" t="n">
        <x:v>1</x:v>
      </x:c>
      <x:c r="N143" s="68" t="n">
        <x:v>0</x:v>
      </x:c>
      <x:c r="O143" s="23" t="str">
        <x:v>positive</x:v>
      </x:c>
      <x:c r="P143" s="23" t="str">
        <x:v>none</x:v>
      </x:c>
      <x:c r="Q143" s="23" t="str">
        <x:v>—</x:v>
      </x:c>
      <x:c r="R143" s="23" t="str">
        <x:v>—</x:v>
      </x:c>
      <x:c r="S143" s="23" t="str">
        <x:v>—</x:v>
      </x:c>
      <x:c r="T143" s="23" t="str">
        <x:v>bullish</x:v>
      </x:c>
      <x:c r="U143" s="23" t="str">
        <x:v>bullish</x:v>
      </x:c>
    </x:row>
    <x:row r="144">
      <x:c r="A144" s="23" t="n">
        <x:v>1142</x:v>
      </x:c>
      <x:c r="B144" s="23" t="str">
        <x:v>NVDA</x:v>
      </x:c>
      <x:c r="C144" s="53" t="n">
        <x:v>46172.566087962965</x:v>
      </x:c>
      <x:c r="D144" s="23" t="str">
        <x:v>StockSavvyShay</x:v>
      </x:c>
      <x:c r="E144" s="23" t="str">
        <x:v>bullish</x:v>
      </x:c>
      <x:c r="F144" s="34" t="n">
        <x:v>0.8</x:v>
      </x:c>
      <x:c r="G144" s="23" t="str">
        <x:v>auto</x:v>
      </x:c>
      <x:c r="H144" s="23" t="str">
        <x:v>vote 변경</x:v>
      </x:c>
      <x:c r="I144" s="23" t="str">
        <x:v>insufficient</x:v>
      </x:c>
      <x:c r="J144" s="23" t="n">
        <x:v>1</x:v>
      </x:c>
      <x:c r="K144" s="23" t="n">
        <x:v>0</x:v>
      </x:c>
      <x:c r="L144" s="23" t="n">
        <x:v>1</x:v>
      </x:c>
      <x:c r="M144" s="68" t="n">
        <x:v>1</x:v>
      </x:c>
      <x:c r="N144" s="68" t="n">
        <x:v>0</x:v>
      </x:c>
      <x:c r="O144" s="23" t="str">
        <x:v>insufficient</x:v>
      </x:c>
      <x:c r="P144" s="23" t="str">
        <x:v>none</x:v>
      </x:c>
      <x:c r="Q144" s="23" t="str">
        <x:v>—</x:v>
      </x:c>
      <x:c r="R144" s="23" t="str">
        <x:v>—</x:v>
      </x:c>
      <x:c r="S144" s="23" t="str">
        <x:v>—</x:v>
      </x:c>
      <x:c r="T144" s="23" t="str">
        <x:v>bullish</x:v>
      </x:c>
      <x:c r="U144" s="23" t="str">
        <x:v>—</x:v>
      </x:c>
    </x:row>
    <x:row r="145">
      <x:c r="A145" s="23" t="n">
        <x:v>1165</x:v>
      </x:c>
      <x:c r="B145" s="23" t="str">
        <x:v>NVDA</x:v>
      </x:c>
      <x:c r="C145" s="53" t="n">
        <x:v>46172.622199074074</x:v>
      </x:c>
      <x:c r="D145" s="23" t="str">
        <x:v>StockSavvyShay</x:v>
      </x:c>
      <x:c r="E145" s="23" t="str">
        <x:v>bullish</x:v>
      </x:c>
      <x:c r="F145" s="34" t="n">
        <x:v>0.7</x:v>
      </x:c>
      <x:c r="G145" s="23" t="str">
        <x:v>needs_review</x:v>
      </x:c>
      <x:c r="H145" s="23" t="str">
        <x:v>근거만</x:v>
      </x:c>
      <x:c r="I145" s="23" t="str">
        <x:v>insufficient</x:v>
      </x:c>
      <x:c r="J145" s="23" t="n">
        <x:v>1</x:v>
      </x:c>
      <x:c r="K145" s="23" t="n">
        <x:v>0</x:v>
      </x:c>
      <x:c r="L145" s="23" t="n">
        <x:v>1</x:v>
      </x:c>
      <x:c r="M145" s="68" t="n">
        <x:v>1</x:v>
      </x:c>
      <x:c r="N145" s="68" t="n">
        <x:v>0</x:v>
      </x:c>
      <x:c r="O145" s="23" t="str">
        <x:v>insufficient</x:v>
      </x:c>
      <x:c r="P145" s="23" t="str">
        <x:v>none</x:v>
      </x:c>
      <x:c r="Q145" s="23" t="str">
        <x:v>—</x:v>
      </x:c>
      <x:c r="R145" s="23" t="str">
        <x:v>—</x:v>
      </x:c>
      <x:c r="S145" s="23" t="str">
        <x:v>—</x:v>
      </x:c>
      <x:c r="T145" s="23" t="str">
        <x:v>bullish</x:v>
      </x:c>
      <x:c r="U145" s="23" t="str">
        <x:v>—</x:v>
      </x:c>
    </x:row>
    <x:row r="146">
      <x:c r="A146" s="23" t="n">
        <x:v>187</x:v>
      </x:c>
      <x:c r="B146" s="23" t="str">
        <x:v>NVDA</x:v>
      </x:c>
      <x:c r="C146" s="53" t="n">
        <x:v>46176.333958333336</x:v>
      </x:c>
      <x:c r="D146" s="23" t="str">
        <x:v>aleabitoreddit</x:v>
      </x:c>
      <x:c r="E146" s="23" t="str">
        <x:v>neutral</x:v>
      </x:c>
      <x:c r="F146" s="34" t="n">
        <x:v>0.6</x:v>
      </x:c>
      <x:c r="G146" s="23" t="str">
        <x:v>needs_review</x:v>
      </x:c>
      <x:c r="H146" s="23" t="str">
        <x:v>근거만</x:v>
      </x:c>
      <x:c r="I146" s="23" t="str">
        <x:v>insufficient</x:v>
      </x:c>
      <x:c r="J146" s="23" t="n">
        <x:v>1</x:v>
      </x:c>
      <x:c r="K146" s="23" t="n">
        <x:v>0</x:v>
      </x:c>
      <x:c r="L146" s="23" t="n">
        <x:v>1</x:v>
      </x:c>
      <x:c r="M146" s="68" t="n">
        <x:v>1</x:v>
      </x:c>
      <x:c r="N146" s="68" t="n">
        <x:v>0</x:v>
      </x:c>
      <x:c r="O146" s="23" t="str">
        <x:v>insufficient</x:v>
      </x:c>
      <x:c r="P146" s="23" t="str">
        <x:v>none</x:v>
      </x:c>
      <x:c r="Q146" s="23" t="str">
        <x:v>—</x:v>
      </x:c>
      <x:c r="R146" s="23" t="str">
        <x:v>—</x:v>
      </x:c>
      <x:c r="S146" s="23" t="str">
        <x:v>—</x:v>
      </x:c>
      <x:c r="T146" s="23" t="str">
        <x:v>bullish</x:v>
      </x:c>
      <x:c r="U146" s="23" t="str">
        <x:v>—</x:v>
      </x:c>
    </x:row>
    <x:row r="147">
      <x:c r="A147" s="23" t="n">
        <x:v>190</x:v>
      </x:c>
      <x:c r="B147" s="23" t="str">
        <x:v>NVDA</x:v>
      </x:c>
      <x:c r="C147" s="53" t="n">
        <x:v>46176.34180555555</x:v>
      </x:c>
      <x:c r="D147" s="23" t="str">
        <x:v>aleabitoreddit</x:v>
      </x:c>
      <x:c r="E147" s="23" t="str">
        <x:v>neutral</x:v>
      </x:c>
      <x:c r="F147" s="34" t="n">
        <x:v>0.5</x:v>
      </x:c>
      <x:c r="G147" s="23" t="str">
        <x:v>needs_review</x:v>
      </x:c>
      <x:c r="H147" s="23" t="str">
        <x:v>근거만</x:v>
      </x:c>
      <x:c r="I147" s="23" t="str">
        <x:v>insufficient</x:v>
      </x:c>
      <x:c r="J147" s="23" t="n">
        <x:v>1</x:v>
      </x:c>
      <x:c r="K147" s="23" t="n">
        <x:v>0</x:v>
      </x:c>
      <x:c r="L147" s="23" t="n">
        <x:v>1</x:v>
      </x:c>
      <x:c r="M147" s="68" t="n">
        <x:v>1</x:v>
      </x:c>
      <x:c r="N147" s="68" t="n">
        <x:v>0</x:v>
      </x:c>
      <x:c r="O147" s="23" t="str">
        <x:v>insufficient</x:v>
      </x:c>
      <x:c r="P147" s="23" t="str">
        <x:v>none</x:v>
      </x:c>
      <x:c r="Q147" s="23" t="str">
        <x:v>—</x:v>
      </x:c>
      <x:c r="R147" s="23" t="str">
        <x:v>—</x:v>
      </x:c>
      <x:c r="S147" s="23" t="str">
        <x:v>—</x:v>
      </x:c>
      <x:c r="T147" s="23" t="str">
        <x:v>bullish</x:v>
      </x:c>
      <x:c r="U147" s="23" t="str">
        <x:v>—</x:v>
      </x:c>
    </x:row>
    <x:row r="148">
      <x:c r="A148" s="23" t="n">
        <x:v>214</x:v>
      </x:c>
      <x:c r="B148" s="23" t="str">
        <x:v>NVDA</x:v>
      </x:c>
      <x:c r="C148" s="53" t="n">
        <x:v>46177.31260416667</x:v>
      </x:c>
      <x:c r="D148" s="23" t="str">
        <x:v>aleabitoreddit</x:v>
      </x:c>
      <x:c r="E148" s="23" t="str">
        <x:v>neutral</x:v>
      </x:c>
      <x:c r="F148" s="34" t="n">
        <x:v>0.8</x:v>
      </x:c>
      <x:c r="G148" s="23" t="str">
        <x:v>auto</x:v>
      </x:c>
      <x:c r="H148" s="23" t="str">
        <x:v>근거만</x:v>
      </x:c>
      <x:c r="I148" s="23" t="str">
        <x:v>insufficient</x:v>
      </x:c>
      <x:c r="J148" s="23" t="n">
        <x:v>1</x:v>
      </x:c>
      <x:c r="K148" s="23" t="n">
        <x:v>0</x:v>
      </x:c>
      <x:c r="L148" s="23" t="n">
        <x:v>1</x:v>
      </x:c>
      <x:c r="M148" s="68" t="n">
        <x:v>1</x:v>
      </x:c>
      <x:c r="N148" s="68" t="n">
        <x:v>0</x:v>
      </x:c>
      <x:c r="O148" s="23" t="str">
        <x:v>insufficient</x:v>
      </x:c>
      <x:c r="P148" s="23" t="str">
        <x:v>none</x:v>
      </x:c>
      <x:c r="Q148" s="23" t="str">
        <x:v>—</x:v>
      </x:c>
      <x:c r="R148" s="23" t="str">
        <x:v>—</x:v>
      </x:c>
      <x:c r="S148" s="23" t="str">
        <x:v>—</x:v>
      </x:c>
      <x:c r="T148" s="23" t="str">
        <x:v>bullish</x:v>
      </x:c>
      <x:c r="U148" s="23" t="str">
        <x:v>—</x:v>
      </x:c>
    </x:row>
    <x:row r="149">
      <x:c r="A149" s="23" t="n">
        <x:v>231</x:v>
      </x:c>
      <x:c r="B149" s="23" t="str">
        <x:v>NVDA</x:v>
      </x:c>
      <x:c r="C149" s="53" t="n">
        <x:v>46177.3928125</x:v>
      </x:c>
      <x:c r="D149" s="23" t="str">
        <x:v>aleabitoreddit</x:v>
      </x:c>
      <x:c r="E149" s="23" t="str">
        <x:v>neutral</x:v>
      </x:c>
      <x:c r="F149" s="34" t="n">
        <x:v>0.5</x:v>
      </x:c>
      <x:c r="G149" s="23" t="str">
        <x:v>needs_review</x:v>
      </x:c>
      <x:c r="H149" s="23" t="str">
        <x:v>근거만</x:v>
      </x:c>
      <x:c r="I149" s="23" t="str">
        <x:v>insufficient</x:v>
      </x:c>
      <x:c r="J149" s="23" t="n">
        <x:v>1</x:v>
      </x:c>
      <x:c r="K149" s="23" t="n">
        <x:v>0</x:v>
      </x:c>
      <x:c r="L149" s="23" t="n">
        <x:v>1</x:v>
      </x:c>
      <x:c r="M149" s="68" t="n">
        <x:v>1</x:v>
      </x:c>
      <x:c r="N149" s="68" t="n">
        <x:v>0</x:v>
      </x:c>
      <x:c r="O149" s="23" t="str">
        <x:v>insufficient</x:v>
      </x:c>
      <x:c r="P149" s="23" t="str">
        <x:v>none</x:v>
      </x:c>
      <x:c r="Q149" s="23" t="str">
        <x:v>—</x:v>
      </x:c>
      <x:c r="R149" s="23" t="str">
        <x:v>—</x:v>
      </x:c>
      <x:c r="S149" s="23" t="str">
        <x:v>—</x:v>
      </x:c>
      <x:c r="T149" s="23" t="str">
        <x:v>bullish</x:v>
      </x:c>
      <x:c r="U149" s="23" t="str">
        <x:v>—</x:v>
      </x:c>
    </x:row>
    <x:row r="150">
      <x:c r="A150" s="23" t="n">
        <x:v>285</x:v>
      </x:c>
      <x:c r="B150" s="23" t="str">
        <x:v>NVDA</x:v>
      </x:c>
      <x:c r="C150" s="53" t="n">
        <x:v>46178.60392361111</x:v>
      </x:c>
      <x:c r="D150" s="23" t="str">
        <x:v>aleabitoreddit</x:v>
      </x:c>
      <x:c r="E150" s="23" t="str">
        <x:v>bullish</x:v>
      </x:c>
      <x:c r="F150" s="34" t="n">
        <x:v>0.7</x:v>
      </x:c>
      <x:c r="G150" s="23" t="str">
        <x:v>needs_review</x:v>
      </x:c>
      <x:c r="H150" s="23" t="str">
        <x:v>근거만</x:v>
      </x:c>
      <x:c r="I150" s="23" t="str">
        <x:v>insufficient</x:v>
      </x:c>
      <x:c r="J150" s="23" t="n">
        <x:v>1</x:v>
      </x:c>
      <x:c r="K150" s="23" t="n">
        <x:v>0</x:v>
      </x:c>
      <x:c r="L150" s="23" t="n">
        <x:v>1</x:v>
      </x:c>
      <x:c r="M150" s="68" t="n">
        <x:v>1</x:v>
      </x:c>
      <x:c r="N150" s="68" t="n">
        <x:v>0</x:v>
      </x:c>
      <x:c r="O150" s="23" t="str">
        <x:v>insufficient</x:v>
      </x:c>
      <x:c r="P150" s="23" t="str">
        <x:v>none</x:v>
      </x:c>
      <x:c r="Q150" s="23" t="str">
        <x:v>—</x:v>
      </x:c>
      <x:c r="R150" s="23" t="str">
        <x:v>—</x:v>
      </x:c>
      <x:c r="S150" s="23" t="str">
        <x:v>—</x:v>
      </x:c>
      <x:c r="T150" s="23" t="str">
        <x:v>bullish</x:v>
      </x:c>
      <x:c r="U150" s="23" t="str">
        <x:v>—</x:v>
      </x:c>
    </x:row>
    <x:row r="151">
      <x:c r="A151" s="23" t="n">
        <x:v>289</x:v>
      </x:c>
      <x:c r="B151" s="23" t="str">
        <x:v>NVDA</x:v>
      </x:c>
      <x:c r="C151" s="53" t="n">
        <x:v>46178.66594907407</x:v>
      </x:c>
      <x:c r="D151" s="23" t="str">
        <x:v>aleabitoreddit</x:v>
      </x:c>
      <x:c r="E151" s="23" t="str">
        <x:v>bullish</x:v>
      </x:c>
      <x:c r="F151" s="34" t="n">
        <x:v>0.8</x:v>
      </x:c>
      <x:c r="G151" s="23" t="str">
        <x:v>auto</x:v>
      </x:c>
      <x:c r="H151" s="23" t="str">
        <x:v>vote 변경</x:v>
      </x:c>
      <x:c r="I151" s="23" t="str">
        <x:v>insufficient</x:v>
      </x:c>
      <x:c r="J151" s="23" t="n">
        <x:v>2</x:v>
      </x:c>
      <x:c r="K151" s="23" t="n">
        <x:v>0</x:v>
      </x:c>
      <x:c r="L151" s="23" t="n">
        <x:v>2</x:v>
      </x:c>
      <x:c r="M151" s="68" t="n">
        <x:v>1</x:v>
      </x:c>
      <x:c r="N151" s="68" t="n">
        <x:v>0</x:v>
      </x:c>
      <x:c r="O151" s="23" t="str">
        <x:v>positive</x:v>
      </x:c>
      <x:c r="P151" s="23" t="str">
        <x:v>entry</x:v>
      </x:c>
      <x:c r="Q151" s="23" t="str">
        <x:v>—</x:v>
      </x:c>
      <x:c r="R151" s="23" t="str">
        <x:v>—</x:v>
      </x:c>
      <x:c r="S151" s="23" t="str">
        <x:v>—</x:v>
      </x:c>
      <x:c r="T151" s="23" t="str">
        <x:v>bullish</x:v>
      </x:c>
      <x:c r="U151" s="23" t="str">
        <x:v>bullish</x:v>
      </x:c>
    </x:row>
    <x:row r="152">
      <x:c r="A152" s="23" t="n">
        <x:v>293</x:v>
      </x:c>
      <x:c r="B152" s="23" t="str">
        <x:v>NVDA</x:v>
      </x:c>
      <x:c r="C152" s="53" t="n">
        <x:v>46178.68777777778</x:v>
      </x:c>
      <x:c r="D152" s="23" t="str">
        <x:v>aleabitoreddit</x:v>
      </x:c>
      <x:c r="E152" s="23" t="str">
        <x:v>bearish</x:v>
      </x:c>
      <x:c r="F152" s="34" t="n">
        <x:v>0.8</x:v>
      </x:c>
      <x:c r="G152" s="23" t="str">
        <x:v>auto</x:v>
      </x:c>
      <x:c r="H152" s="23" t="str">
        <x:v>vote 변경</x:v>
      </x:c>
      <x:c r="I152" s="23" t="str">
        <x:v>positive</x:v>
      </x:c>
      <x:c r="J152" s="23" t="n">
        <x:v>1</x:v>
      </x:c>
      <x:c r="K152" s="23" t="n">
        <x:v>1</x:v>
      </x:c>
      <x:c r="L152" s="23" t="n">
        <x:v>2</x:v>
      </x:c>
      <x:c r="M152" s="68" t="n">
        <x:v>0.5</x:v>
      </x:c>
      <x:c r="N152" s="68" t="n">
        <x:v>0.5</x:v>
      </x:c>
      <x:c r="O152" s="23" t="str">
        <x:v>mixed</x:v>
      </x:c>
      <x:c r="P152" s="23" t="str">
        <x:v>exit</x:v>
      </x:c>
      <x:c r="Q152" s="23" t="str">
        <x:v>—</x:v>
      </x:c>
      <x:c r="R152" s="23" t="str">
        <x:v>—</x:v>
      </x:c>
      <x:c r="S152" s="23" t="str">
        <x:v>—</x:v>
      </x:c>
      <x:c r="T152" s="23" t="str">
        <x:v>bullish</x:v>
      </x:c>
      <x:c r="U152" s="23" t="str">
        <x:v>bearish</x:v>
      </x:c>
    </x:row>
    <x:row r="153">
      <x:c r="A153" s="23" t="n">
        <x:v>327</x:v>
      </x:c>
      <x:c r="B153" s="23" t="str">
        <x:v>NVDA</x:v>
      </x:c>
      <x:c r="C153" s="53" t="n">
        <x:v>46180.47806712963</x:v>
      </x:c>
      <x:c r="D153" s="23" t="str">
        <x:v>aleabitoreddit</x:v>
      </x:c>
      <x:c r="E153" s="23" t="str">
        <x:v>bullish</x:v>
      </x:c>
      <x:c r="F153" s="34" t="n">
        <x:v>0.7</x:v>
      </x:c>
      <x:c r="G153" s="23" t="str">
        <x:v>needs_review</x:v>
      </x:c>
      <x:c r="H153" s="23" t="str">
        <x:v>근거만</x:v>
      </x:c>
      <x:c r="I153" s="23" t="str">
        <x:v>mixed</x:v>
      </x:c>
      <x:c r="J153" s="23" t="n">
        <x:v>1</x:v>
      </x:c>
      <x:c r="K153" s="23" t="n">
        <x:v>1</x:v>
      </x:c>
      <x:c r="L153" s="23" t="n">
        <x:v>2</x:v>
      </x:c>
      <x:c r="M153" s="68" t="n">
        <x:v>0.5</x:v>
      </x:c>
      <x:c r="N153" s="68" t="n">
        <x:v>0.5</x:v>
      </x:c>
      <x:c r="O153" s="23" t="str">
        <x:v>mixed</x:v>
      </x:c>
      <x:c r="P153" s="23" t="str">
        <x:v>none</x:v>
      </x:c>
      <x:c r="Q153" s="23" t="str">
        <x:v>—</x:v>
      </x:c>
      <x:c r="R153" s="23" t="str">
        <x:v>—</x:v>
      </x:c>
      <x:c r="S153" s="23" t="str">
        <x:v>—</x:v>
      </x:c>
      <x:c r="T153" s="23" t="str">
        <x:v>bullish</x:v>
      </x:c>
      <x:c r="U153" s="23" t="str">
        <x:v>bearish</x:v>
      </x:c>
    </x:row>
    <x:row r="154">
      <x:c r="A154" s="23" t="n">
        <x:v>330</x:v>
      </x:c>
      <x:c r="B154" s="23" t="str">
        <x:v>NVDA</x:v>
      </x:c>
      <x:c r="C154" s="53" t="n">
        <x:v>46180.531909722224</x:v>
      </x:c>
      <x:c r="D154" s="23" t="str">
        <x:v>aleabitoreddit</x:v>
      </x:c>
      <x:c r="E154" s="23" t="str">
        <x:v>bullish</x:v>
      </x:c>
      <x:c r="F154" s="34" t="n">
        <x:v>0.7</x:v>
      </x:c>
      <x:c r="G154" s="23" t="str">
        <x:v>needs_review</x:v>
      </x:c>
      <x:c r="H154" s="23" t="str">
        <x:v>근거만</x:v>
      </x:c>
      <x:c r="I154" s="23" t="str">
        <x:v>mixed</x:v>
      </x:c>
      <x:c r="J154" s="23" t="n">
        <x:v>1</x:v>
      </x:c>
      <x:c r="K154" s="23" t="n">
        <x:v>1</x:v>
      </x:c>
      <x:c r="L154" s="23" t="n">
        <x:v>2</x:v>
      </x:c>
      <x:c r="M154" s="68" t="n">
        <x:v>0.5</x:v>
      </x:c>
      <x:c r="N154" s="68" t="n">
        <x:v>0.5</x:v>
      </x:c>
      <x:c r="O154" s="23" t="str">
        <x:v>mixed</x:v>
      </x:c>
      <x:c r="P154" s="23" t="str">
        <x:v>none</x:v>
      </x:c>
      <x:c r="Q154" s="23" t="str">
        <x:v>—</x:v>
      </x:c>
      <x:c r="R154" s="23" t="str">
        <x:v>—</x:v>
      </x:c>
      <x:c r="S154" s="23" t="str">
        <x:v>—</x:v>
      </x:c>
      <x:c r="T154" s="23" t="str">
        <x:v>bullish</x:v>
      </x:c>
      <x:c r="U154" s="23" t="str">
        <x:v>bearish</x:v>
      </x:c>
    </x:row>
    <x:row r="155">
      <x:c r="A155" s="23" t="n">
        <x:v>368</x:v>
      </x:c>
      <x:c r="B155" s="23" t="str">
        <x:v>NVDA</x:v>
      </x:c>
      <x:c r="C155" s="53" t="n">
        <x:v>46182.59034722222</x:v>
      </x:c>
      <x:c r="D155" s="23" t="str">
        <x:v>aleabitoreddit</x:v>
      </x:c>
      <x:c r="E155" s="23" t="str">
        <x:v>neutral</x:v>
      </x:c>
      <x:c r="F155" s="34" t="n">
        <x:v>0.6</x:v>
      </x:c>
      <x:c r="G155" s="23" t="str">
        <x:v>needs_review</x:v>
      </x:c>
      <x:c r="H155" s="23" t="str">
        <x:v>근거만</x:v>
      </x:c>
      <x:c r="I155" s="23" t="str">
        <x:v>mixed</x:v>
      </x:c>
      <x:c r="J155" s="23" t="n">
        <x:v>1</x:v>
      </x:c>
      <x:c r="K155" s="23" t="n">
        <x:v>1</x:v>
      </x:c>
      <x:c r="L155" s="23" t="n">
        <x:v>2</x:v>
      </x:c>
      <x:c r="M155" s="68" t="n">
        <x:v>0.5</x:v>
      </x:c>
      <x:c r="N155" s="68" t="n">
        <x:v>0.5</x:v>
      </x:c>
      <x:c r="O155" s="23" t="str">
        <x:v>mixed</x:v>
      </x:c>
      <x:c r="P155" s="23" t="str">
        <x:v>none</x:v>
      </x:c>
      <x:c r="Q155" s="23" t="str">
        <x:v>—</x:v>
      </x:c>
      <x:c r="R155" s="23" t="str">
        <x:v>—</x:v>
      </x:c>
      <x:c r="S155" s="23" t="str">
        <x:v>—</x:v>
      </x:c>
      <x:c r="T155" s="23" t="str">
        <x:v>bullish</x:v>
      </x:c>
      <x:c r="U155" s="23" t="str">
        <x:v>bearish</x:v>
      </x:c>
    </x:row>
    <x:row r="156">
      <x:c r="A156" s="23" t="n">
        <x:v>370</x:v>
      </x:c>
      <x:c r="B156" s="23" t="str">
        <x:v>NVDA</x:v>
      </x:c>
      <x:c r="C156" s="53" t="n">
        <x:v>46183.06520833333</x:v>
      </x:c>
      <x:c r="D156" s="23" t="str">
        <x:v>aleabitoreddit</x:v>
      </x:c>
      <x:c r="E156" s="23" t="str">
        <x:v>bullish</x:v>
      </x:c>
      <x:c r="F156" s="34" t="n">
        <x:v>0.85</x:v>
      </x:c>
      <x:c r="G156" s="23" t="str">
        <x:v>auto</x:v>
      </x:c>
      <x:c r="H156" s="23" t="str">
        <x:v>vote 변경</x:v>
      </x:c>
      <x:c r="I156" s="23" t="str">
        <x:v>mixed</x:v>
      </x:c>
      <x:c r="J156" s="23" t="n">
        <x:v>2</x:v>
      </x:c>
      <x:c r="K156" s="23" t="n">
        <x:v>0</x:v>
      </x:c>
      <x:c r="L156" s="23" t="n">
        <x:v>2</x:v>
      </x:c>
      <x:c r="M156" s="68" t="n">
        <x:v>1</x:v>
      </x:c>
      <x:c r="N156" s="68" t="n">
        <x:v>0</x:v>
      </x:c>
      <x:c r="O156" s="23" t="str">
        <x:v>positive</x:v>
      </x:c>
      <x:c r="P156" s="23" t="str">
        <x:v>entry</x:v>
      </x:c>
      <x:c r="Q156" s="23" t="str">
        <x:v>—</x:v>
      </x:c>
      <x:c r="R156" s="23" t="str">
        <x:v>—</x:v>
      </x:c>
      <x:c r="S156" s="23" t="str">
        <x:v>—</x:v>
      </x:c>
      <x:c r="T156" s="23" t="str">
        <x:v>bullish</x:v>
      </x:c>
      <x:c r="U156" s="23" t="str">
        <x:v>bullish</x:v>
      </x:c>
    </x:row>
    <x:row r="157">
      <x:c r="A157" s="23" t="n">
        <x:v>374</x:v>
      </x:c>
      <x:c r="B157" s="23" t="str">
        <x:v>NVDA</x:v>
      </x:c>
      <x:c r="C157" s="53" t="n">
        <x:v>46183.1021412037</x:v>
      </x:c>
      <x:c r="D157" s="23" t="str">
        <x:v>aleabitoreddit</x:v>
      </x:c>
      <x:c r="E157" s="23" t="str">
        <x:v>bullish</x:v>
      </x:c>
      <x:c r="F157" s="34" t="n">
        <x:v>0.7</x:v>
      </x:c>
      <x:c r="G157" s="23" t="str">
        <x:v>needs_review</x:v>
      </x:c>
      <x:c r="H157" s="23" t="str">
        <x:v>근거만</x:v>
      </x:c>
      <x:c r="I157" s="23" t="str">
        <x:v>positive</x:v>
      </x:c>
      <x:c r="J157" s="23" t="n">
        <x:v>2</x:v>
      </x:c>
      <x:c r="K157" s="23" t="n">
        <x:v>0</x:v>
      </x:c>
      <x:c r="L157" s="23" t="n">
        <x:v>2</x:v>
      </x:c>
      <x:c r="M157" s="68" t="n">
        <x:v>1</x:v>
      </x:c>
      <x:c r="N157" s="68" t="n">
        <x:v>0</x:v>
      </x:c>
      <x:c r="O157" s="23" t="str">
        <x:v>positive</x:v>
      </x:c>
      <x:c r="P157" s="23" t="str">
        <x:v>none</x:v>
      </x:c>
      <x:c r="Q157" s="23" t="str">
        <x:v>—</x:v>
      </x:c>
      <x:c r="R157" s="23" t="str">
        <x:v>—</x:v>
      </x:c>
      <x:c r="S157" s="23" t="str">
        <x:v>—</x:v>
      </x:c>
      <x:c r="T157" s="23" t="str">
        <x:v>bullish</x:v>
      </x:c>
      <x:c r="U157" s="23" t="str">
        <x:v>bullish</x:v>
      </x:c>
    </x:row>
    <x:row r="158">
      <x:c r="A158" s="23" t="n">
        <x:v>377</x:v>
      </x:c>
      <x:c r="B158" s="23" t="str">
        <x:v>NVDA</x:v>
      </x:c>
      <x:c r="C158" s="53" t="n">
        <x:v>46183.155324074076</x:v>
      </x:c>
      <x:c r="D158" s="23" t="str">
        <x:v>aleabitoreddit</x:v>
      </x:c>
      <x:c r="E158" s="23" t="str">
        <x:v>bullish</x:v>
      </x:c>
      <x:c r="F158" s="34" t="n">
        <x:v>0.9</x:v>
      </x:c>
      <x:c r="G158" s="23" t="str">
        <x:v>auto</x:v>
      </x:c>
      <x:c r="H158" s="23" t="str">
        <x:v>vote 변경</x:v>
      </x:c>
      <x:c r="I158" s="23" t="str">
        <x:v>positive</x:v>
      </x:c>
      <x:c r="J158" s="23" t="n">
        <x:v>2</x:v>
      </x:c>
      <x:c r="K158" s="23" t="n">
        <x:v>0</x:v>
      </x:c>
      <x:c r="L158" s="23" t="n">
        <x:v>2</x:v>
      </x:c>
      <x:c r="M158" s="68" t="n">
        <x:v>1</x:v>
      </x:c>
      <x:c r="N158" s="68" t="n">
        <x:v>0</x:v>
      </x:c>
      <x:c r="O158" s="23" t="str">
        <x:v>positive</x:v>
      </x:c>
      <x:c r="P158" s="23" t="str">
        <x:v>none</x:v>
      </x:c>
      <x:c r="Q158" s="23" t="str">
        <x:v>—</x:v>
      </x:c>
      <x:c r="R158" s="23" t="str">
        <x:v>—</x:v>
      </x:c>
      <x:c r="S158" s="23" t="str">
        <x:v>—</x:v>
      </x:c>
      <x:c r="T158" s="23" t="str">
        <x:v>bullish</x:v>
      </x:c>
      <x:c r="U158" s="23" t="str">
        <x:v>bullish</x:v>
      </x:c>
    </x:row>
    <x:row r="159">
      <x:c r="A159" s="23" t="n">
        <x:v>379</x:v>
      </x:c>
      <x:c r="B159" s="23" t="str">
        <x:v>NVDA</x:v>
      </x:c>
      <x:c r="C159" s="53" t="n">
        <x:v>46183.187048611115</x:v>
      </x:c>
      <x:c r="D159" s="23" t="str">
        <x:v>aleabitoreddit</x:v>
      </x:c>
      <x:c r="E159" s="23" t="str">
        <x:v>bullish</x:v>
      </x:c>
      <x:c r="F159" s="34" t="n">
        <x:v>0.9</x:v>
      </x:c>
      <x:c r="G159" s="23" t="str">
        <x:v>auto</x:v>
      </x:c>
      <x:c r="H159" s="23" t="str">
        <x:v>vote 변경</x:v>
      </x:c>
      <x:c r="I159" s="23" t="str">
        <x:v>positive</x:v>
      </x:c>
      <x:c r="J159" s="23" t="n">
        <x:v>2</x:v>
      </x:c>
      <x:c r="K159" s="23" t="n">
        <x:v>0</x:v>
      </x:c>
      <x:c r="L159" s="23" t="n">
        <x:v>2</x:v>
      </x:c>
      <x:c r="M159" s="68" t="n">
        <x:v>1</x:v>
      </x:c>
      <x:c r="N159" s="68" t="n">
        <x:v>0</x:v>
      </x:c>
      <x:c r="O159" s="23" t="str">
        <x:v>positive</x:v>
      </x:c>
      <x:c r="P159" s="23" t="str">
        <x:v>none</x:v>
      </x:c>
      <x:c r="Q159" s="23" t="str">
        <x:v>—</x:v>
      </x:c>
      <x:c r="R159" s="23" t="str">
        <x:v>—</x:v>
      </x:c>
      <x:c r="S159" s="23" t="str">
        <x:v>—</x:v>
      </x:c>
      <x:c r="T159" s="23" t="str">
        <x:v>bullish</x:v>
      </x:c>
      <x:c r="U159" s="23" t="str">
        <x:v>bullish</x:v>
      </x:c>
    </x:row>
    <x:row r="160">
      <x:c r="A160" s="23" t="n">
        <x:v>376</x:v>
      </x:c>
      <x:c r="B160" s="23" t="str">
        <x:v>NVDA</x:v>
      </x:c>
      <x:c r="C160" s="53" t="n">
        <x:v>46183.19501157408</x:v>
      </x:c>
      <x:c r="D160" s="23" t="str">
        <x:v>aleabitoreddit</x:v>
      </x:c>
      <x:c r="E160" s="23" t="str">
        <x:v>bullish</x:v>
      </x:c>
      <x:c r="F160" s="34" t="n">
        <x:v>1</x:v>
      </x:c>
      <x:c r="G160" s="23" t="str">
        <x:v>auto</x:v>
      </x:c>
      <x:c r="H160" s="23" t="str">
        <x:v>vote 변경</x:v>
      </x:c>
      <x:c r="I160" s="23" t="str">
        <x:v>positive</x:v>
      </x:c>
      <x:c r="J160" s="23" t="n">
        <x:v>2</x:v>
      </x:c>
      <x:c r="K160" s="23" t="n">
        <x:v>0</x:v>
      </x:c>
      <x:c r="L160" s="23" t="n">
        <x:v>2</x:v>
      </x:c>
      <x:c r="M160" s="68" t="n">
        <x:v>1</x:v>
      </x:c>
      <x:c r="N160" s="68" t="n">
        <x:v>0</x:v>
      </x:c>
      <x:c r="O160" s="23" t="str">
        <x:v>positive</x:v>
      </x:c>
      <x:c r="P160" s="23" t="str">
        <x:v>none</x:v>
      </x:c>
      <x:c r="Q160" s="23" t="str">
        <x:v>—</x:v>
      </x:c>
      <x:c r="R160" s="23" t="str">
        <x:v>—</x:v>
      </x:c>
      <x:c r="S160" s="23" t="str">
        <x:v>—</x:v>
      </x:c>
      <x:c r="T160" s="23" t="str">
        <x:v>bullish</x:v>
      </x:c>
      <x:c r="U160" s="23" t="str">
        <x:v>bullish</x:v>
      </x:c>
    </x:row>
    <x:row r="161">
      <x:c r="A161" s="23" t="n">
        <x:v>380</x:v>
      </x:c>
      <x:c r="B161" s="23" t="str">
        <x:v>NVDA</x:v>
      </x:c>
      <x:c r="C161" s="53" t="n">
        <x:v>46183.216412037036</x:v>
      </x:c>
      <x:c r="D161" s="23" t="str">
        <x:v>aleabitoreddit</x:v>
      </x:c>
      <x:c r="E161" s="23" t="str">
        <x:v>bullish</x:v>
      </x:c>
      <x:c r="F161" s="34" t="n">
        <x:v>0.7</x:v>
      </x:c>
      <x:c r="G161" s="23" t="str">
        <x:v>needs_review</x:v>
      </x:c>
      <x:c r="H161" s="23" t="str">
        <x:v>근거만</x:v>
      </x:c>
      <x:c r="I161" s="23" t="str">
        <x:v>positive</x:v>
      </x:c>
      <x:c r="J161" s="23" t="n">
        <x:v>2</x:v>
      </x:c>
      <x:c r="K161" s="23" t="n">
        <x:v>0</x:v>
      </x:c>
      <x:c r="L161" s="23" t="n">
        <x:v>2</x:v>
      </x:c>
      <x:c r="M161" s="68" t="n">
        <x:v>1</x:v>
      </x:c>
      <x:c r="N161" s="68" t="n">
        <x:v>0</x:v>
      </x:c>
      <x:c r="O161" s="23" t="str">
        <x:v>positive</x:v>
      </x:c>
      <x:c r="P161" s="23" t="str">
        <x:v>none</x:v>
      </x:c>
      <x:c r="Q161" s="23" t="str">
        <x:v>—</x:v>
      </x:c>
      <x:c r="R161" s="23" t="str">
        <x:v>—</x:v>
      </x:c>
      <x:c r="S161" s="23" t="str">
        <x:v>—</x:v>
      </x:c>
      <x:c r="T161" s="23" t="str">
        <x:v>bullish</x:v>
      </x:c>
      <x:c r="U161" s="23" t="str">
        <x:v>bullish</x:v>
      </x:c>
    </x:row>
    <x:row r="162">
      <x:c r="A162" s="23" t="n">
        <x:v>385</x:v>
      </x:c>
      <x:c r="B162" s="23" t="str">
        <x:v>NVDA</x:v>
      </x:c>
      <x:c r="C162" s="53" t="n">
        <x:v>46183.449953703705</x:v>
      </x:c>
      <x:c r="D162" s="23" t="str">
        <x:v>aleabitoreddit</x:v>
      </x:c>
      <x:c r="E162" s="23" t="str">
        <x:v>bullish</x:v>
      </x:c>
      <x:c r="F162" s="34" t="n">
        <x:v>0.7</x:v>
      </x:c>
      <x:c r="G162" s="23" t="str">
        <x:v>needs_review</x:v>
      </x:c>
      <x:c r="H162" s="23" t="str">
        <x:v>근거만</x:v>
      </x:c>
      <x:c r="I162" s="23" t="str">
        <x:v>positive</x:v>
      </x:c>
      <x:c r="J162" s="23" t="n">
        <x:v>2</x:v>
      </x:c>
      <x:c r="K162" s="23" t="n">
        <x:v>0</x:v>
      </x:c>
      <x:c r="L162" s="23" t="n">
        <x:v>2</x:v>
      </x:c>
      <x:c r="M162" s="68" t="n">
        <x:v>1</x:v>
      </x:c>
      <x:c r="N162" s="68" t="n">
        <x:v>0</x:v>
      </x:c>
      <x:c r="O162" s="23" t="str">
        <x:v>positive</x:v>
      </x:c>
      <x:c r="P162" s="23" t="str">
        <x:v>none</x:v>
      </x:c>
      <x:c r="Q162" s="23" t="str">
        <x:v>—</x:v>
      </x:c>
      <x:c r="R162" s="23" t="str">
        <x:v>—</x:v>
      </x:c>
      <x:c r="S162" s="23" t="str">
        <x:v>—</x:v>
      </x:c>
      <x:c r="T162" s="23" t="str">
        <x:v>bullish</x:v>
      </x:c>
      <x:c r="U162" s="23" t="str">
        <x:v>bullish</x:v>
      </x:c>
    </x:row>
    <x:row r="163">
      <x:c r="A163" s="23" t="n">
        <x:v>382</x:v>
      </x:c>
      <x:c r="B163" s="23" t="str">
        <x:v>NVDA</x:v>
      </x:c>
      <x:c r="C163" s="53" t="n">
        <x:v>46183.45347222222</x:v>
      </x:c>
      <x:c r="D163" s="23" t="str">
        <x:v>aleabitoreddit</x:v>
      </x:c>
      <x:c r="E163" s="23" t="str">
        <x:v>bullish</x:v>
      </x:c>
      <x:c r="F163" s="34" t="n">
        <x:v>0.8</x:v>
      </x:c>
      <x:c r="G163" s="23" t="str">
        <x:v>auto</x:v>
      </x:c>
      <x:c r="H163" s="23" t="str">
        <x:v>vote 변경</x:v>
      </x:c>
      <x:c r="I163" s="23" t="str">
        <x:v>positive</x:v>
      </x:c>
      <x:c r="J163" s="23" t="n">
        <x:v>2</x:v>
      </x:c>
      <x:c r="K163" s="23" t="n">
        <x:v>0</x:v>
      </x:c>
      <x:c r="L163" s="23" t="n">
        <x:v>2</x:v>
      </x:c>
      <x:c r="M163" s="68" t="n">
        <x:v>1</x:v>
      </x:c>
      <x:c r="N163" s="68" t="n">
        <x:v>0</x:v>
      </x:c>
      <x:c r="O163" s="23" t="str">
        <x:v>positive</x:v>
      </x:c>
      <x:c r="P163" s="23" t="str">
        <x:v>none</x:v>
      </x:c>
      <x:c r="Q163" s="23" t="str">
        <x:v>—</x:v>
      </x:c>
      <x:c r="R163" s="23" t="str">
        <x:v>—</x:v>
      </x:c>
      <x:c r="S163" s="23" t="str">
        <x:v>—</x:v>
      </x:c>
      <x:c r="T163" s="23" t="str">
        <x:v>bullish</x:v>
      </x:c>
      <x:c r="U163" s="23" t="str">
        <x:v>bullish</x:v>
      </x:c>
    </x:row>
    <x:row r="164">
      <x:c r="A164" s="23" t="n">
        <x:v>383</x:v>
      </x:c>
      <x:c r="B164" s="23" t="str">
        <x:v>NVDA</x:v>
      </x:c>
      <x:c r="C164" s="53" t="n">
        <x:v>46183.47006944445</x:v>
      </x:c>
      <x:c r="D164" s="23" t="str">
        <x:v>aleabitoreddit</x:v>
      </x:c>
      <x:c r="E164" s="23" t="str">
        <x:v>bullish</x:v>
      </x:c>
      <x:c r="F164" s="34" t="n">
        <x:v>0.9</x:v>
      </x:c>
      <x:c r="G164" s="23" t="str">
        <x:v>auto</x:v>
      </x:c>
      <x:c r="H164" s="23" t="str">
        <x:v>vote 변경</x:v>
      </x:c>
      <x:c r="I164" s="23" t="str">
        <x:v>positive</x:v>
      </x:c>
      <x:c r="J164" s="23" t="n">
        <x:v>2</x:v>
      </x:c>
      <x:c r="K164" s="23" t="n">
        <x:v>0</x:v>
      </x:c>
      <x:c r="L164" s="23" t="n">
        <x:v>2</x:v>
      </x:c>
      <x:c r="M164" s="68" t="n">
        <x:v>1</x:v>
      </x:c>
      <x:c r="N164" s="68" t="n">
        <x:v>0</x:v>
      </x:c>
      <x:c r="O164" s="23" t="str">
        <x:v>positive</x:v>
      </x:c>
      <x:c r="P164" s="23" t="str">
        <x:v>none</x:v>
      </x:c>
      <x:c r="Q164" s="23" t="str">
        <x:v>—</x:v>
      </x:c>
      <x:c r="R164" s="23" t="str">
        <x:v>—</x:v>
      </x:c>
      <x:c r="S164" s="23" t="str">
        <x:v>—</x:v>
      </x:c>
      <x:c r="T164" s="23" t="str">
        <x:v>bullish</x:v>
      </x:c>
      <x:c r="U164" s="23" t="str">
        <x:v>bullish</x:v>
      </x:c>
    </x:row>
    <x:row r="165">
      <x:c r="A165" s="23" t="n">
        <x:v>395</x:v>
      </x:c>
      <x:c r="B165" s="23" t="str">
        <x:v>NVDA</x:v>
      </x:c>
      <x:c r="C165" s="53" t="n">
        <x:v>46183.67866898148</x:v>
      </x:c>
      <x:c r="D165" s="23" t="str">
        <x:v>aleabitoreddit</x:v>
      </x:c>
      <x:c r="E165" s="23" t="str">
        <x:v>neutral</x:v>
      </x:c>
      <x:c r="F165" s="34" t="n">
        <x:v>0.3</x:v>
      </x:c>
      <x:c r="G165" s="23" t="str">
        <x:v>needs_review</x:v>
      </x:c>
      <x:c r="H165" s="23" t="str">
        <x:v>근거만</x:v>
      </x:c>
      <x:c r="I165" s="23" t="str">
        <x:v>positive</x:v>
      </x:c>
      <x:c r="J165" s="23" t="n">
        <x:v>2</x:v>
      </x:c>
      <x:c r="K165" s="23" t="n">
        <x:v>0</x:v>
      </x:c>
      <x:c r="L165" s="23" t="n">
        <x:v>2</x:v>
      </x:c>
      <x:c r="M165" s="68" t="n">
        <x:v>1</x:v>
      </x:c>
      <x:c r="N165" s="68" t="n">
        <x:v>0</x:v>
      </x:c>
      <x:c r="O165" s="23" t="str">
        <x:v>positive</x:v>
      </x:c>
      <x:c r="P165" s="23" t="str">
        <x:v>none</x:v>
      </x:c>
      <x:c r="Q165" s="23" t="str">
        <x:v>—</x:v>
      </x:c>
      <x:c r="R165" s="23" t="str">
        <x:v>—</x:v>
      </x:c>
      <x:c r="S165" s="23" t="str">
        <x:v>—</x:v>
      </x:c>
      <x:c r="T165" s="23" t="str">
        <x:v>bullish</x:v>
      </x:c>
      <x:c r="U165" s="23" t="str">
        <x:v>bullish</x:v>
      </x:c>
    </x:row>
    <x:row r="166">
      <x:c r="A166" s="23" t="n">
        <x:v>399</x:v>
      </x:c>
      <x:c r="B166" s="23" t="str">
        <x:v>NVDA</x:v>
      </x:c>
      <x:c r="C166" s="53" t="n">
        <x:v>46184.06829861111</x:v>
      </x:c>
      <x:c r="D166" s="23" t="str">
        <x:v>aleabitoreddit</x:v>
      </x:c>
      <x:c r="E166" s="23" t="str">
        <x:v>bullish</x:v>
      </x:c>
      <x:c r="F166" s="34" t="n">
        <x:v>0.7</x:v>
      </x:c>
      <x:c r="G166" s="23" t="str">
        <x:v>needs_review</x:v>
      </x:c>
      <x:c r="H166" s="23" t="str">
        <x:v>근거만</x:v>
      </x:c>
      <x:c r="I166" s="23" t="str">
        <x:v>positive</x:v>
      </x:c>
      <x:c r="J166" s="23" t="n">
        <x:v>2</x:v>
      </x:c>
      <x:c r="K166" s="23" t="n">
        <x:v>0</x:v>
      </x:c>
      <x:c r="L166" s="23" t="n">
        <x:v>2</x:v>
      </x:c>
      <x:c r="M166" s="68" t="n">
        <x:v>1</x:v>
      </x:c>
      <x:c r="N166" s="68" t="n">
        <x:v>0</x:v>
      </x:c>
      <x:c r="O166" s="23" t="str">
        <x:v>positive</x:v>
      </x:c>
      <x:c r="P166" s="23" t="str">
        <x:v>none</x:v>
      </x:c>
      <x:c r="Q166" s="23" t="str">
        <x:v>—</x:v>
      </x:c>
      <x:c r="R166" s="23" t="str">
        <x:v>—</x:v>
      </x:c>
      <x:c r="S166" s="23" t="str">
        <x:v>—</x:v>
      </x:c>
      <x:c r="T166" s="23" t="str">
        <x:v>bullish</x:v>
      </x:c>
      <x:c r="U166" s="23" t="str">
        <x:v>bullish</x:v>
      </x:c>
    </x:row>
    <x:row r="167">
      <x:c r="A167" s="23" t="n">
        <x:v>416</x:v>
      </x:c>
      <x:c r="B167" s="23" t="str">
        <x:v>NVDA</x:v>
      </x:c>
      <x:c r="C167" s="53" t="n">
        <x:v>46184.687893518516</x:v>
      </x:c>
      <x:c r="D167" s="23" t="str">
        <x:v>aleabitoreddit</x:v>
      </x:c>
      <x:c r="E167" s="23" t="str">
        <x:v>bullish</x:v>
      </x:c>
      <x:c r="F167" s="34" t="n">
        <x:v>0.7</x:v>
      </x:c>
      <x:c r="G167" s="23" t="str">
        <x:v>needs_review</x:v>
      </x:c>
      <x:c r="H167" s="23" t="str">
        <x:v>근거만</x:v>
      </x:c>
      <x:c r="I167" s="23" t="str">
        <x:v>positive</x:v>
      </x:c>
      <x:c r="J167" s="23" t="n">
        <x:v>2</x:v>
      </x:c>
      <x:c r="K167" s="23" t="n">
        <x:v>0</x:v>
      </x:c>
      <x:c r="L167" s="23" t="n">
        <x:v>2</x:v>
      </x:c>
      <x:c r="M167" s="68" t="n">
        <x:v>1</x:v>
      </x:c>
      <x:c r="N167" s="68" t="n">
        <x:v>0</x:v>
      </x:c>
      <x:c r="O167" s="23" t="str">
        <x:v>positive</x:v>
      </x:c>
      <x:c r="P167" s="23" t="str">
        <x:v>none</x:v>
      </x:c>
      <x:c r="Q167" s="23" t="str">
        <x:v>—</x:v>
      </x:c>
      <x:c r="R167" s="23" t="str">
        <x:v>—</x:v>
      </x:c>
      <x:c r="S167" s="23" t="str">
        <x:v>—</x:v>
      </x:c>
      <x:c r="T167" s="23" t="str">
        <x:v>bullish</x:v>
      </x:c>
      <x:c r="U167" s="23" t="str">
        <x:v>bullish</x:v>
      </x:c>
    </x:row>
    <x:row r="168">
      <x:c r="A168" s="23" t="n">
        <x:v>425</x:v>
      </x:c>
      <x:c r="B168" s="23" t="str">
        <x:v>NVDA</x:v>
      </x:c>
      <x:c r="C168" s="53" t="n">
        <x:v>46184.701273148145</x:v>
      </x:c>
      <x:c r="D168" s="23" t="str">
        <x:v>aleabitoreddit</x:v>
      </x:c>
      <x:c r="E168" s="23" t="str">
        <x:v>bullish</x:v>
      </x:c>
      <x:c r="F168" s="34" t="n">
        <x:v>1</x:v>
      </x:c>
      <x:c r="G168" s="23" t="str">
        <x:v>auto</x:v>
      </x:c>
      <x:c r="H168" s="23" t="str">
        <x:v>vote 변경</x:v>
      </x:c>
      <x:c r="I168" s="23" t="str">
        <x:v>positive</x:v>
      </x:c>
      <x:c r="J168" s="23" t="n">
        <x:v>2</x:v>
      </x:c>
      <x:c r="K168" s="23" t="n">
        <x:v>0</x:v>
      </x:c>
      <x:c r="L168" s="23" t="n">
        <x:v>2</x:v>
      </x:c>
      <x:c r="M168" s="68" t="n">
        <x:v>1</x:v>
      </x:c>
      <x:c r="N168" s="68" t="n">
        <x:v>0</x:v>
      </x:c>
      <x:c r="O168" s="23" t="str">
        <x:v>positive</x:v>
      </x:c>
      <x:c r="P168" s="23" t="str">
        <x:v>none</x:v>
      </x:c>
      <x:c r="Q168" s="23" t="str">
        <x:v>—</x:v>
      </x:c>
      <x:c r="R168" s="23" t="str">
        <x:v>—</x:v>
      </x:c>
      <x:c r="S168" s="23" t="str">
        <x:v>—</x:v>
      </x:c>
      <x:c r="T168" s="23" t="str">
        <x:v>bullish</x:v>
      </x:c>
      <x:c r="U168" s="23" t="str">
        <x:v>bullish</x:v>
      </x:c>
    </x:row>
    <x:row r="169">
      <x:c r="A169" s="23" t="n">
        <x:v>474</x:v>
      </x:c>
      <x:c r="B169" s="23" t="str">
        <x:v>NVDA</x:v>
      </x:c>
      <x:c r="C169" s="53" t="n">
        <x:v>46188.05887731481</x:v>
      </x:c>
      <x:c r="D169" s="23" t="str">
        <x:v>aleabitoreddit</x:v>
      </x:c>
      <x:c r="E169" s="23" t="str">
        <x:v>bullish</x:v>
      </x:c>
      <x:c r="F169" s="34" t="n">
        <x:v>0.7</x:v>
      </x:c>
      <x:c r="G169" s="23" t="str">
        <x:v>needs_review</x:v>
      </x:c>
      <x:c r="H169" s="23" t="str">
        <x:v>근거만</x:v>
      </x:c>
      <x:c r="I169" s="23" t="str">
        <x:v>positive</x:v>
      </x:c>
      <x:c r="J169" s="23" t="n">
        <x:v>2</x:v>
      </x:c>
      <x:c r="K169" s="23" t="n">
        <x:v>0</x:v>
      </x:c>
      <x:c r="L169" s="23" t="n">
        <x:v>2</x:v>
      </x:c>
      <x:c r="M169" s="68" t="n">
        <x:v>1</x:v>
      </x:c>
      <x:c r="N169" s="68" t="n">
        <x:v>0</x:v>
      </x:c>
      <x:c r="O169" s="23" t="str">
        <x:v>positive</x:v>
      </x:c>
      <x:c r="P169" s="23" t="str">
        <x:v>none</x:v>
      </x:c>
      <x:c r="Q169" s="23" t="str">
        <x:v>—</x:v>
      </x:c>
      <x:c r="R169" s="23" t="str">
        <x:v>—</x:v>
      </x:c>
      <x:c r="S169" s="23" t="str">
        <x:v>—</x:v>
      </x:c>
      <x:c r="T169" s="23" t="str">
        <x:v>bullish</x:v>
      </x:c>
      <x:c r="U169" s="23" t="str">
        <x:v>bullish</x:v>
      </x:c>
    </x:row>
    <x:row r="170">
      <x:c r="A170" s="23" t="n">
        <x:v>540</x:v>
      </x:c>
      <x:c r="B170" s="23" t="str">
        <x:v>NVDA</x:v>
      </x:c>
      <x:c r="C170" s="53" t="n">
        <x:v>46189.09788194444</x:v>
      </x:c>
      <x:c r="D170" s="23" t="str">
        <x:v>aleabitoreddit</x:v>
      </x:c>
      <x:c r="E170" s="23" t="str">
        <x:v>neutral</x:v>
      </x:c>
      <x:c r="F170" s="34" t="n">
        <x:v>0.6</x:v>
      </x:c>
      <x:c r="G170" s="23" t="str">
        <x:v>needs_review</x:v>
      </x:c>
      <x:c r="H170" s="23" t="str">
        <x:v>근거만</x:v>
      </x:c>
      <x:c r="I170" s="23" t="str">
        <x:v>positive</x:v>
      </x:c>
      <x:c r="J170" s="23" t="n">
        <x:v>2</x:v>
      </x:c>
      <x:c r="K170" s="23" t="n">
        <x:v>0</x:v>
      </x:c>
      <x:c r="L170" s="23" t="n">
        <x:v>2</x:v>
      </x:c>
      <x:c r="M170" s="68" t="n">
        <x:v>1</x:v>
      </x:c>
      <x:c r="N170" s="68" t="n">
        <x:v>0</x:v>
      </x:c>
      <x:c r="O170" s="23" t="str">
        <x:v>positive</x:v>
      </x:c>
      <x:c r="P170" s="23" t="str">
        <x:v>none</x:v>
      </x:c>
      <x:c r="Q170" s="23" t="str">
        <x:v>—</x:v>
      </x:c>
      <x:c r="R170" s="23" t="str">
        <x:v>—</x:v>
      </x:c>
      <x:c r="S170" s="23" t="str">
        <x:v>—</x:v>
      </x:c>
      <x:c r="T170" s="23" t="str">
        <x:v>bullish</x:v>
      </x:c>
      <x:c r="U170" s="23" t="str">
        <x:v>bullish</x:v>
      </x:c>
    </x:row>
    <x:row r="171">
      <x:c r="A171" s="23" t="n">
        <x:v>543</x:v>
      </x:c>
      <x:c r="B171" s="23" t="str">
        <x:v>NVDA</x:v>
      </x:c>
      <x:c r="C171" s="53" t="n">
        <x:v>46189.21780092592</x:v>
      </x:c>
      <x:c r="D171" s="23" t="str">
        <x:v>aleabitoreddit</x:v>
      </x:c>
      <x:c r="E171" s="23" t="str">
        <x:v>bearish</x:v>
      </x:c>
      <x:c r="F171" s="34" t="n">
        <x:v>0.8</x:v>
      </x:c>
      <x:c r="G171" s="23" t="str">
        <x:v>auto</x:v>
      </x:c>
      <x:c r="H171" s="23" t="str">
        <x:v>vote 변경</x:v>
      </x:c>
      <x:c r="I171" s="23" t="str">
        <x:v>positive</x:v>
      </x:c>
      <x:c r="J171" s="23" t="n">
        <x:v>1</x:v>
      </x:c>
      <x:c r="K171" s="23" t="n">
        <x:v>1</x:v>
      </x:c>
      <x:c r="L171" s="23" t="n">
        <x:v>2</x:v>
      </x:c>
      <x:c r="M171" s="68" t="n">
        <x:v>0.5</x:v>
      </x:c>
      <x:c r="N171" s="68" t="n">
        <x:v>0.5</x:v>
      </x:c>
      <x:c r="O171" s="23" t="str">
        <x:v>mixed</x:v>
      </x:c>
      <x:c r="P171" s="23" t="str">
        <x:v>exit</x:v>
      </x:c>
      <x:c r="Q171" s="23" t="str">
        <x:v>—</x:v>
      </x:c>
      <x:c r="R171" s="23" t="str">
        <x:v>—</x:v>
      </x:c>
      <x:c r="S171" s="23" t="str">
        <x:v>—</x:v>
      </x:c>
      <x:c r="T171" s="23" t="str">
        <x:v>bullish</x:v>
      </x:c>
      <x:c r="U171" s="23" t="str">
        <x:v>bearish</x:v>
      </x:c>
    </x:row>
    <x:row r="172">
      <x:c r="A172" s="23" t="n">
        <x:v>563</x:v>
      </x:c>
      <x:c r="B172" s="23" t="str">
        <x:v>NVDA</x:v>
      </x:c>
      <x:c r="C172" s="53" t="n">
        <x:v>46189.329675925925</x:v>
      </x:c>
      <x:c r="D172" s="23" t="str">
        <x:v>aleabitoreddit</x:v>
      </x:c>
      <x:c r="E172" s="23" t="str">
        <x:v>bullish</x:v>
      </x:c>
      <x:c r="F172" s="34" t="n">
        <x:v>0.7</x:v>
      </x:c>
      <x:c r="G172" s="23" t="str">
        <x:v>needs_review</x:v>
      </x:c>
      <x:c r="H172" s="23" t="str">
        <x:v>근거만</x:v>
      </x:c>
      <x:c r="I172" s="23" t="str">
        <x:v>mixed</x:v>
      </x:c>
      <x:c r="J172" s="23" t="n">
        <x:v>1</x:v>
      </x:c>
      <x:c r="K172" s="23" t="n">
        <x:v>1</x:v>
      </x:c>
      <x:c r="L172" s="23" t="n">
        <x:v>2</x:v>
      </x:c>
      <x:c r="M172" s="68" t="n">
        <x:v>0.5</x:v>
      </x:c>
      <x:c r="N172" s="68" t="n">
        <x:v>0.5</x:v>
      </x:c>
      <x:c r="O172" s="23" t="str">
        <x:v>mixed</x:v>
      </x:c>
      <x:c r="P172" s="23" t="str">
        <x:v>none</x:v>
      </x:c>
      <x:c r="Q172" s="23" t="str">
        <x:v>—</x:v>
      </x:c>
      <x:c r="R172" s="23" t="str">
        <x:v>—</x:v>
      </x:c>
      <x:c r="S172" s="23" t="str">
        <x:v>—</x:v>
      </x:c>
      <x:c r="T172" s="23" t="str">
        <x:v>bullish</x:v>
      </x:c>
      <x:c r="U172" s="23" t="str">
        <x:v>bearish</x:v>
      </x:c>
    </x:row>
    <x:row r="173">
      <x:c r="A173" s="23" t="n">
        <x:v>594</x:v>
      </x:c>
      <x:c r="B173" s="23" t="str">
        <x:v>NVDA</x:v>
      </x:c>
      <x:c r="C173" s="53" t="n">
        <x:v>46189.44892361111</x:v>
      </x:c>
      <x:c r="D173" s="23" t="str">
        <x:v>aleabitoreddit</x:v>
      </x:c>
      <x:c r="E173" s="23" t="str">
        <x:v>bullish</x:v>
      </x:c>
      <x:c r="F173" s="34" t="n">
        <x:v>0.7</x:v>
      </x:c>
      <x:c r="G173" s="23" t="str">
        <x:v>needs_review</x:v>
      </x:c>
      <x:c r="H173" s="23" t="str">
        <x:v>근거만</x:v>
      </x:c>
      <x:c r="I173" s="23" t="str">
        <x:v>mixed</x:v>
      </x:c>
      <x:c r="J173" s="23" t="n">
        <x:v>1</x:v>
      </x:c>
      <x:c r="K173" s="23" t="n">
        <x:v>1</x:v>
      </x:c>
      <x:c r="L173" s="23" t="n">
        <x:v>2</x:v>
      </x:c>
      <x:c r="M173" s="68" t="n">
        <x:v>0.5</x:v>
      </x:c>
      <x:c r="N173" s="68" t="n">
        <x:v>0.5</x:v>
      </x:c>
      <x:c r="O173" s="23" t="str">
        <x:v>mixed</x:v>
      </x:c>
      <x:c r="P173" s="23" t="str">
        <x:v>none</x:v>
      </x:c>
      <x:c r="Q173" s="23" t="str">
        <x:v>—</x:v>
      </x:c>
      <x:c r="R173" s="23" t="str">
        <x:v>—</x:v>
      </x:c>
      <x:c r="S173" s="23" t="str">
        <x:v>—</x:v>
      </x:c>
      <x:c r="T173" s="23" t="str">
        <x:v>bullish</x:v>
      </x:c>
      <x:c r="U173" s="23" t="str">
        <x:v>bearish</x:v>
      </x:c>
    </x:row>
    <x:row r="174">
      <x:c r="A174" s="23" t="n">
        <x:v>607</x:v>
      </x:c>
      <x:c r="B174" s="23" t="str">
        <x:v>NVDA</x:v>
      </x:c>
      <x:c r="C174" s="53" t="n">
        <x:v>46189.54184027778</x:v>
      </x:c>
      <x:c r="D174" s="23" t="str">
        <x:v>aleabitoreddit</x:v>
      </x:c>
      <x:c r="E174" s="23" t="str">
        <x:v>neutral</x:v>
      </x:c>
      <x:c r="F174" s="34" t="n">
        <x:v>0.6</x:v>
      </x:c>
      <x:c r="G174" s="23" t="str">
        <x:v>needs_review</x:v>
      </x:c>
      <x:c r="H174" s="23" t="str">
        <x:v>근거만</x:v>
      </x:c>
      <x:c r="I174" s="23" t="str">
        <x:v>mixed</x:v>
      </x:c>
      <x:c r="J174" s="23" t="n">
        <x:v>1</x:v>
      </x:c>
      <x:c r="K174" s="23" t="n">
        <x:v>1</x:v>
      </x:c>
      <x:c r="L174" s="23" t="n">
        <x:v>2</x:v>
      </x:c>
      <x:c r="M174" s="68" t="n">
        <x:v>0.5</x:v>
      </x:c>
      <x:c r="N174" s="68" t="n">
        <x:v>0.5</x:v>
      </x:c>
      <x:c r="O174" s="23" t="str">
        <x:v>mixed</x:v>
      </x:c>
      <x:c r="P174" s="23" t="str">
        <x:v>none</x:v>
      </x:c>
      <x:c r="Q174" s="23" t="str">
        <x:v>—</x:v>
      </x:c>
      <x:c r="R174" s="23" t="str">
        <x:v>—</x:v>
      </x:c>
      <x:c r="S174" s="23" t="str">
        <x:v>—</x:v>
      </x:c>
      <x:c r="T174" s="23" t="str">
        <x:v>bullish</x:v>
      </x:c>
      <x:c r="U174" s="23" t="str">
        <x:v>bearish</x:v>
      </x:c>
    </x:row>
    <x:row r="175">
      <x:c r="A175" s="23" t="n">
        <x:v>573</x:v>
      </x:c>
      <x:c r="B175" s="23" t="str">
        <x:v>NVDA</x:v>
      </x:c>
      <x:c r="C175" s="53" t="n">
        <x:v>46189.99847222222</x:v>
      </x:c>
      <x:c r="D175" s="23" t="str">
        <x:v>aleabitoreddit</x:v>
      </x:c>
      <x:c r="E175" s="23" t="str">
        <x:v>bullish</x:v>
      </x:c>
      <x:c r="F175" s="34" t="n">
        <x:v>0.8</x:v>
      </x:c>
      <x:c r="G175" s="23" t="str">
        <x:v>auto</x:v>
      </x:c>
      <x:c r="H175" s="23" t="str">
        <x:v>vote 변경</x:v>
      </x:c>
      <x:c r="I175" s="23" t="str">
        <x:v>mixed</x:v>
      </x:c>
      <x:c r="J175" s="23" t="n">
        <x:v>2</x:v>
      </x:c>
      <x:c r="K175" s="23" t="n">
        <x:v>0</x:v>
      </x:c>
      <x:c r="L175" s="23" t="n">
        <x:v>2</x:v>
      </x:c>
      <x:c r="M175" s="68" t="n">
        <x:v>1</x:v>
      </x:c>
      <x:c r="N175" s="68" t="n">
        <x:v>0</x:v>
      </x:c>
      <x:c r="O175" s="23" t="str">
        <x:v>positive</x:v>
      </x:c>
      <x:c r="P175" s="23" t="str">
        <x:v>entry</x:v>
      </x:c>
      <x:c r="Q175" s="23" t="str">
        <x:v>—</x:v>
      </x:c>
      <x:c r="R175" s="23" t="str">
        <x:v>—</x:v>
      </x:c>
      <x:c r="S175" s="23" t="str">
        <x:v>—</x:v>
      </x:c>
      <x:c r="T175" s="23" t="str">
        <x:v>bullish</x:v>
      </x:c>
      <x:c r="U175" s="23" t="str">
        <x:v>bullish</x:v>
      </x:c>
    </x:row>
    <x:row r="176">
      <x:c r="A176" s="23" t="n">
        <x:v>675</x:v>
      </x:c>
      <x:c r="B176" s="23" t="str">
        <x:v>NVDA</x:v>
      </x:c>
      <x:c r="C176" s="53" t="n">
        <x:v>46195.06613425926</x:v>
      </x:c>
      <x:c r="D176" s="23" t="str">
        <x:v>aleabitoreddit</x:v>
      </x:c>
      <x:c r="E176" s="23" t="str">
        <x:v>neutral</x:v>
      </x:c>
      <x:c r="F176" s="34" t="n">
        <x:v>0.7</x:v>
      </x:c>
      <x:c r="G176" s="23" t="str">
        <x:v>needs_review</x:v>
      </x:c>
      <x:c r="H176" s="23" t="str">
        <x:v>근거만</x:v>
      </x:c>
      <x:c r="I176" s="23" t="str">
        <x:v>positive</x:v>
      </x:c>
      <x:c r="J176" s="23" t="n">
        <x:v>2</x:v>
      </x:c>
      <x:c r="K176" s="23" t="n">
        <x:v>0</x:v>
      </x:c>
      <x:c r="L176" s="23" t="n">
        <x:v>2</x:v>
      </x:c>
      <x:c r="M176" s="68" t="n">
        <x:v>1</x:v>
      </x:c>
      <x:c r="N176" s="68" t="n">
        <x:v>0</x:v>
      </x:c>
      <x:c r="O176" s="23" t="str">
        <x:v>positive</x:v>
      </x:c>
      <x:c r="P176" s="23" t="str">
        <x:v>none</x:v>
      </x:c>
      <x:c r="Q176" s="23" t="str">
        <x:v>—</x:v>
      </x:c>
      <x:c r="R176" s="23" t="str">
        <x:v>—</x:v>
      </x:c>
      <x:c r="S176" s="23" t="str">
        <x:v>—</x:v>
      </x:c>
      <x:c r="T176" s="23" t="str">
        <x:v>bullish</x:v>
      </x:c>
      <x:c r="U176" s="23" t="str">
        <x:v>bullish</x:v>
      </x:c>
    </x:row>
    <x:row r="177">
      <x:c r="A177" s="23" t="n">
        <x:v>708</x:v>
      </x:c>
      <x:c r="B177" s="23" t="str">
        <x:v>NVDA</x:v>
      </x:c>
      <x:c r="C177" s="53" t="n">
        <x:v>46196.13662037037</x:v>
      </x:c>
      <x:c r="D177" s="23" t="str">
        <x:v>aleabitoreddit</x:v>
      </x:c>
      <x:c r="E177" s="23" t="str">
        <x:v>bullish</x:v>
      </x:c>
      <x:c r="F177" s="34" t="n">
        <x:v>0.7</x:v>
      </x:c>
      <x:c r="G177" s="23" t="str">
        <x:v>needs_review</x:v>
      </x:c>
      <x:c r="H177" s="23" t="str">
        <x:v>근거만</x:v>
      </x:c>
      <x:c r="I177" s="23" t="str">
        <x:v>positive</x:v>
      </x:c>
      <x:c r="J177" s="23" t="n">
        <x:v>2</x:v>
      </x:c>
      <x:c r="K177" s="23" t="n">
        <x:v>0</x:v>
      </x:c>
      <x:c r="L177" s="23" t="n">
        <x:v>2</x:v>
      </x:c>
      <x:c r="M177" s="68" t="n">
        <x:v>1</x:v>
      </x:c>
      <x:c r="N177" s="68" t="n">
        <x:v>0</x:v>
      </x:c>
      <x:c r="O177" s="23" t="str">
        <x:v>positive</x:v>
      </x:c>
      <x:c r="P177" s="23" t="str">
        <x:v>none</x:v>
      </x:c>
      <x:c r="Q177" s="23" t="str">
        <x:v>—</x:v>
      </x:c>
      <x:c r="R177" s="23" t="str">
        <x:v>—</x:v>
      </x:c>
      <x:c r="S177" s="23" t="str">
        <x:v>—</x:v>
      </x:c>
      <x:c r="T177" s="23" t="str">
        <x:v>bullish</x:v>
      </x:c>
      <x:c r="U177" s="23" t="str">
        <x:v>bullish</x:v>
      </x:c>
    </x:row>
    <x:row r="178">
      <x:c r="A178" s="23" t="n">
        <x:v>720</x:v>
      </x:c>
      <x:c r="B178" s="23" t="str">
        <x:v>NVDA</x:v>
      </x:c>
      <x:c r="C178" s="53" t="n">
        <x:v>46196.52657407407</x:v>
      </x:c>
      <x:c r="D178" s="23" t="str">
        <x:v>aleabitoreddit</x:v>
      </x:c>
      <x:c r="E178" s="23" t="str">
        <x:v>bullish</x:v>
      </x:c>
      <x:c r="F178" s="34" t="n">
        <x:v>0.8</x:v>
      </x:c>
      <x:c r="G178" s="23" t="str">
        <x:v>auto</x:v>
      </x:c>
      <x:c r="H178" s="23" t="str">
        <x:v>vote 변경</x:v>
      </x:c>
      <x:c r="I178" s="23" t="str">
        <x:v>positive</x:v>
      </x:c>
      <x:c r="J178" s="23" t="n">
        <x:v>2</x:v>
      </x:c>
      <x:c r="K178" s="23" t="n">
        <x:v>0</x:v>
      </x:c>
      <x:c r="L178" s="23" t="n">
        <x:v>2</x:v>
      </x:c>
      <x:c r="M178" s="68" t="n">
        <x:v>1</x:v>
      </x:c>
      <x:c r="N178" s="68" t="n">
        <x:v>0</x:v>
      </x:c>
      <x:c r="O178" s="23" t="str">
        <x:v>positive</x:v>
      </x:c>
      <x:c r="P178" s="23" t="str">
        <x:v>none</x:v>
      </x:c>
      <x:c r="Q178" s="23" t="str">
        <x:v>—</x:v>
      </x:c>
      <x:c r="R178" s="23" t="str">
        <x:v>—</x:v>
      </x:c>
      <x:c r="S178" s="23" t="str">
        <x:v>—</x:v>
      </x:c>
      <x:c r="T178" s="23" t="str">
        <x:v>bullish</x:v>
      </x:c>
      <x:c r="U178" s="23" t="str">
        <x:v>bullish</x:v>
      </x:c>
    </x:row>
    <x:row r="179">
      <x:c r="A179" s="23" t="n">
        <x:v>854</x:v>
      </x:c>
      <x:c r="B179" s="23" t="str">
        <x:v>NVDA</x:v>
      </x:c>
      <x:c r="C179" s="53" t="n">
        <x:v>46202.4131712963</x:v>
      </x:c>
      <x:c r="D179" s="23" t="str">
        <x:v>aleabitoreddit</x:v>
      </x:c>
      <x:c r="E179" s="23" t="str">
        <x:v>bullish</x:v>
      </x:c>
      <x:c r="F179" s="34" t="n">
        <x:v>0.8</x:v>
      </x:c>
      <x:c r="G179" s="23" t="str">
        <x:v>auto</x:v>
      </x:c>
      <x:c r="H179" s="23" t="str">
        <x:v>vote 변경</x:v>
      </x:c>
      <x:c r="I179" s="23" t="str">
        <x:v>positive</x:v>
      </x:c>
      <x:c r="J179" s="23" t="n">
        <x:v>2</x:v>
      </x:c>
      <x:c r="K179" s="23" t="n">
        <x:v>0</x:v>
      </x:c>
      <x:c r="L179" s="23" t="n">
        <x:v>2</x:v>
      </x:c>
      <x:c r="M179" s="68" t="n">
        <x:v>1</x:v>
      </x:c>
      <x:c r="N179" s="68" t="n">
        <x:v>0</x:v>
      </x:c>
      <x:c r="O179" s="23" t="str">
        <x:v>positive</x:v>
      </x:c>
      <x:c r="P179" s="23" t="str">
        <x:v>none</x:v>
      </x:c>
      <x:c r="Q179" s="23" t="str">
        <x:v>—</x:v>
      </x:c>
      <x:c r="R179" s="23" t="str">
        <x:v>—</x:v>
      </x:c>
      <x:c r="S179" s="23" t="str">
        <x:v>—</x:v>
      </x:c>
      <x:c r="T179" s="23" t="str">
        <x:v>bullish</x:v>
      </x:c>
      <x:c r="U179" s="23" t="str">
        <x:v>bullish</x:v>
      </x:c>
    </x:row>
    <x:row r="180">
      <x:c r="A180" s="23" t="n">
        <x:v>940</x:v>
      </x:c>
      <x:c r="B180" s="23" t="str">
        <x:v>NVDA</x:v>
      </x:c>
      <x:c r="C180" s="53" t="n">
        <x:v>46205.70591435185</x:v>
      </x:c>
      <x:c r="D180" s="23" t="str">
        <x:v>aleabitoreddit</x:v>
      </x:c>
      <x:c r="E180" s="23" t="str">
        <x:v>bullish</x:v>
      </x:c>
      <x:c r="F180" s="34" t="n">
        <x:v>0.9</x:v>
      </x:c>
      <x:c r="G180" s="23" t="str">
        <x:v>auto</x:v>
      </x:c>
      <x:c r="H180" s="23" t="str">
        <x:v>vote 변경</x:v>
      </x:c>
      <x:c r="I180" s="23" t="str">
        <x:v>positive</x:v>
      </x:c>
      <x:c r="J180" s="23" t="n">
        <x:v>2</x:v>
      </x:c>
      <x:c r="K180" s="23" t="n">
        <x:v>0</x:v>
      </x:c>
      <x:c r="L180" s="23" t="n">
        <x:v>2</x:v>
      </x:c>
      <x:c r="M180" s="68" t="n">
        <x:v>1</x:v>
      </x:c>
      <x:c r="N180" s="68" t="n">
        <x:v>0</x:v>
      </x:c>
      <x:c r="O180" s="23" t="str">
        <x:v>positive</x:v>
      </x:c>
      <x:c r="P180" s="23" t="str">
        <x:v>none</x:v>
      </x:c>
      <x:c r="Q180" s="23" t="str">
        <x:v>—</x:v>
      </x:c>
      <x:c r="R180" s="23" t="str">
        <x:v>—</x:v>
      </x:c>
      <x:c r="S180" s="23" t="str">
        <x:v>—</x:v>
      </x:c>
      <x:c r="T180" s="23" t="str">
        <x:v>bullish</x:v>
      </x:c>
      <x:c r="U180" s="23" t="str">
        <x:v>bullish</x:v>
      </x:c>
    </x:row>
    <x:row r="181">
      <x:c r="A181" s="23" t="n">
        <x:v>956</x:v>
      </x:c>
      <x:c r="B181" s="23" t="str">
        <x:v>NVDA</x:v>
      </x:c>
      <x:c r="C181" s="53" t="n">
        <x:v>46205.72372685185</x:v>
      </x:c>
      <x:c r="D181" s="23" t="str">
        <x:v>aleabitoreddit</x:v>
      </x:c>
      <x:c r="E181" s="23" t="str">
        <x:v>bullish</x:v>
      </x:c>
      <x:c r="F181" s="34" t="n">
        <x:v>0.9</x:v>
      </x:c>
      <x:c r="G181" s="23" t="str">
        <x:v>auto</x:v>
      </x:c>
      <x:c r="H181" s="23" t="str">
        <x:v>vote 변경</x:v>
      </x:c>
      <x:c r="I181" s="23" t="str">
        <x:v>positive</x:v>
      </x:c>
      <x:c r="J181" s="23" t="n">
        <x:v>2</x:v>
      </x:c>
      <x:c r="K181" s="23" t="n">
        <x:v>0</x:v>
      </x:c>
      <x:c r="L181" s="23" t="n">
        <x:v>2</x:v>
      </x:c>
      <x:c r="M181" s="68" t="n">
        <x:v>1</x:v>
      </x:c>
      <x:c r="N181" s="68" t="n">
        <x:v>0</x:v>
      </x:c>
      <x:c r="O181" s="23" t="str">
        <x:v>positive</x:v>
      </x:c>
      <x:c r="P181" s="23" t="str">
        <x:v>none</x:v>
      </x:c>
      <x:c r="Q181" s="23" t="str">
        <x:v>—</x:v>
      </x:c>
      <x:c r="R181" s="23" t="str">
        <x:v>—</x:v>
      </x:c>
      <x:c r="S181" s="23" t="str">
        <x:v>—</x:v>
      </x:c>
      <x:c r="T181" s="23" t="str">
        <x:v>bullish</x:v>
      </x:c>
      <x:c r="U181" s="23" t="str">
        <x:v>bullish</x:v>
      </x:c>
    </x:row>
    <x:row r="182">
      <x:c r="A182" s="23" t="n">
        <x:v>995</x:v>
      </x:c>
      <x:c r="B182" s="23" t="str">
        <x:v>NVDA</x:v>
      </x:c>
      <x:c r="C182" s="53" t="n">
        <x:v>46206.26329861111</x:v>
      </x:c>
      <x:c r="D182" s="23" t="str">
        <x:v>aleabitoreddit</x:v>
      </x:c>
      <x:c r="E182" s="23" t="str">
        <x:v>bullish</x:v>
      </x:c>
      <x:c r="F182" s="34" t="n">
        <x:v>0.7</x:v>
      </x:c>
      <x:c r="G182" s="23" t="str">
        <x:v>needs_review</x:v>
      </x:c>
      <x:c r="H182" s="23" t="str">
        <x:v>근거만</x:v>
      </x:c>
      <x:c r="I182" s="23" t="str">
        <x:v>positive</x:v>
      </x:c>
      <x:c r="J182" s="23" t="n">
        <x:v>2</x:v>
      </x:c>
      <x:c r="K182" s="23" t="n">
        <x:v>0</x:v>
      </x:c>
      <x:c r="L182" s="23" t="n">
        <x:v>2</x:v>
      </x:c>
      <x:c r="M182" s="68" t="n">
        <x:v>1</x:v>
      </x:c>
      <x:c r="N182" s="68" t="n">
        <x:v>0</x:v>
      </x:c>
      <x:c r="O182" s="23" t="str">
        <x:v>positive</x:v>
      </x:c>
      <x:c r="P182" s="23" t="str">
        <x:v>none</x:v>
      </x:c>
      <x:c r="Q182" s="23" t="str">
        <x:v>—</x:v>
      </x:c>
      <x:c r="R182" s="23" t="str">
        <x:v>—</x:v>
      </x:c>
      <x:c r="S182" s="23" t="str">
        <x:v>—</x:v>
      </x:c>
      <x:c r="T182" s="23" t="str">
        <x:v>bullish</x:v>
      </x:c>
      <x:c r="U182" s="23" t="str">
        <x:v>bullish</x:v>
      </x:c>
    </x:row>
    <x:row r="183">
      <x:c r="A183" s="23" t="n">
        <x:v>994</x:v>
      </x:c>
      <x:c r="B183" s="23" t="str">
        <x:v>NVDA</x:v>
      </x:c>
      <x:c r="C183" s="53" t="n">
        <x:v>46206.286886574075</x:v>
      </x:c>
      <x:c r="D183" s="23" t="str">
        <x:v>aleabitoreddit</x:v>
      </x:c>
      <x:c r="E183" s="23" t="str">
        <x:v>bullish</x:v>
      </x:c>
      <x:c r="F183" s="34" t="n">
        <x:v>0.6</x:v>
      </x:c>
      <x:c r="G183" s="23" t="str">
        <x:v>needs_review</x:v>
      </x:c>
      <x:c r="H183" s="23" t="str">
        <x:v>근거만</x:v>
      </x:c>
      <x:c r="I183" s="23" t="str">
        <x:v>positive</x:v>
      </x:c>
      <x:c r="J183" s="23" t="n">
        <x:v>2</x:v>
      </x:c>
      <x:c r="K183" s="23" t="n">
        <x:v>0</x:v>
      </x:c>
      <x:c r="L183" s="23" t="n">
        <x:v>2</x:v>
      </x:c>
      <x:c r="M183" s="68" t="n">
        <x:v>1</x:v>
      </x:c>
      <x:c r="N183" s="68" t="n">
        <x:v>0</x:v>
      </x:c>
      <x:c r="O183" s="23" t="str">
        <x:v>positive</x:v>
      </x:c>
      <x:c r="P183" s="23" t="str">
        <x:v>none</x:v>
      </x:c>
      <x:c r="Q183" s="23" t="str">
        <x:v>—</x:v>
      </x:c>
      <x:c r="R183" s="23" t="str">
        <x:v>—</x:v>
      </x:c>
      <x:c r="S183" s="23" t="str">
        <x:v>—</x:v>
      </x:c>
      <x:c r="T183" s="23" t="str">
        <x:v>bullish</x:v>
      </x:c>
      <x:c r="U183" s="23" t="str">
        <x:v>bullish</x:v>
      </x:c>
    </x:row>
    <x:row r="184">
      <x:c r="A184" s="23" t="n">
        <x:v>1058</x:v>
      </x:c>
      <x:c r="B184" s="23" t="str">
        <x:v>NVDA</x:v>
      </x:c>
      <x:c r="C184" s="53" t="n">
        <x:v>46209.69079861111</x:v>
      </x:c>
      <x:c r="D184" s="23" t="str">
        <x:v>aleabitoreddit</x:v>
      </x:c>
      <x:c r="E184" s="23" t="str">
        <x:v>neutral</x:v>
      </x:c>
      <x:c r="F184" s="34" t="n">
        <x:v>0.8</x:v>
      </x:c>
      <x:c r="G184" s="23" t="str">
        <x:v>auto</x:v>
      </x:c>
      <x:c r="H184" s="23" t="str">
        <x:v>근거만</x:v>
      </x:c>
      <x:c r="I184" s="23" t="str">
        <x:v>positive</x:v>
      </x:c>
      <x:c r="J184" s="23" t="n">
        <x:v>2</x:v>
      </x:c>
      <x:c r="K184" s="23" t="n">
        <x:v>0</x:v>
      </x:c>
      <x:c r="L184" s="23" t="n">
        <x:v>2</x:v>
      </x:c>
      <x:c r="M184" s="68" t="n">
        <x:v>1</x:v>
      </x:c>
      <x:c r="N184" s="68" t="n">
        <x:v>0</x:v>
      </x:c>
      <x:c r="O184" s="23" t="str">
        <x:v>positive</x:v>
      </x:c>
      <x:c r="P184" s="23" t="str">
        <x:v>none</x:v>
      </x:c>
      <x:c r="Q184" s="23" t="str">
        <x:v>—</x:v>
      </x:c>
      <x:c r="R184" s="23" t="str">
        <x:v>—</x:v>
      </x:c>
      <x:c r="S184" s="23" t="str">
        <x:v>—</x:v>
      </x:c>
      <x:c r="T184" s="23" t="str">
        <x:v>bullish</x:v>
      </x:c>
      <x:c r="U184" s="23" t="str">
        <x:v>bullish</x:v>
      </x:c>
    </x:row>
    <x:row r="185">
      <x:c r="A185" s="23" t="n">
        <x:v>1076</x:v>
      </x:c>
      <x:c r="B185" s="23" t="str">
        <x:v>NVDA</x:v>
      </x:c>
      <x:c r="C185" s="53" t="n">
        <x:v>46210.340729166666</x:v>
      </x:c>
      <x:c r="D185" s="23" t="str">
        <x:v>aleabitoreddit</x:v>
      </x:c>
      <x:c r="E185" s="23" t="str">
        <x:v>bullish</x:v>
      </x:c>
      <x:c r="F185" s="34" t="n">
        <x:v>0.9</x:v>
      </x:c>
      <x:c r="G185" s="23" t="str">
        <x:v>auto</x:v>
      </x:c>
      <x:c r="H185" s="23" t="str">
        <x:v>vote 변경</x:v>
      </x:c>
      <x:c r="I185" s="23" t="str">
        <x:v>positive</x:v>
      </x:c>
      <x:c r="J185" s="23" t="n">
        <x:v>2</x:v>
      </x:c>
      <x:c r="K185" s="23" t="n">
        <x:v>0</x:v>
      </x:c>
      <x:c r="L185" s="23" t="n">
        <x:v>2</x:v>
      </x:c>
      <x:c r="M185" s="68" t="n">
        <x:v>1</x:v>
      </x:c>
      <x:c r="N185" s="68" t="n">
        <x:v>0</x:v>
      </x:c>
      <x:c r="O185" s="23" t="str">
        <x:v>positive</x:v>
      </x:c>
      <x:c r="P185" s="23" t="str">
        <x:v>none</x:v>
      </x:c>
      <x:c r="Q185" s="23" t="str">
        <x:v>—</x:v>
      </x:c>
      <x:c r="R185" s="23" t="str">
        <x:v>—</x:v>
      </x:c>
      <x:c r="S185" s="23" t="str">
        <x:v>—</x:v>
      </x:c>
      <x:c r="T185" s="23" t="str">
        <x:v>bullish</x:v>
      </x:c>
      <x:c r="U185" s="23" t="str">
        <x:v>bullish</x:v>
      </x:c>
    </x:row>
    <x:row r="186">
      <x:c r="A186" s="23" t="n">
        <x:v>156</x:v>
      </x:c>
      <x:c r="B186" s="23" t="str">
        <x:v>NVDA</x:v>
      </x:c>
      <x:c r="C186" s="53" t="n">
        <x:v>46216.03140046296</x:v>
      </x:c>
      <x:c r="D186" s="23" t="str">
        <x:v>aleabitoreddit</x:v>
      </x:c>
      <x:c r="E186" s="23" t="str">
        <x:v>bearish</x:v>
      </x:c>
      <x:c r="F186" s="34" t="n">
        <x:v>0.7</x:v>
      </x:c>
      <x:c r="G186" s="23" t="str">
        <x:v>needs_review</x:v>
      </x:c>
      <x:c r="H186" s="23" t="str">
        <x:v>근거만</x:v>
      </x:c>
      <x:c r="I186" s="23" t="str">
        <x:v>positive</x:v>
      </x:c>
      <x:c r="J186" s="23" t="n">
        <x:v>2</x:v>
      </x:c>
      <x:c r="K186" s="23" t="n">
        <x:v>0</x:v>
      </x:c>
      <x:c r="L186" s="23" t="n">
        <x:v>2</x:v>
      </x:c>
      <x:c r="M186" s="68" t="n">
        <x:v>1</x:v>
      </x:c>
      <x:c r="N186" s="68" t="n">
        <x:v>0</x:v>
      </x:c>
      <x:c r="O186" s="23" t="str">
        <x:v>positive</x:v>
      </x:c>
      <x:c r="P186" s="23" t="str">
        <x:v>none</x:v>
      </x:c>
      <x:c r="Q186" s="23" t="str">
        <x:v>—</x:v>
      </x:c>
      <x:c r="R186" s="23" t="str">
        <x:v>—</x:v>
      </x:c>
      <x:c r="S186" s="23" t="str">
        <x:v>—</x:v>
      </x:c>
      <x:c r="T186" s="23" t="str">
        <x:v>bullish</x:v>
      </x:c>
      <x:c r="U186" s="23" t="str">
        <x:v>bullish</x:v>
      </x:c>
    </x:row>
    <x:row r="187">
      <x:c r="A187" s="23" t="n">
        <x:v>1179</x:v>
      </x:c>
      <x:c r="B187" s="23" t="str">
        <x:v>NVDA</x:v>
      </x:c>
      <x:c r="C187" s="53" t="n">
        <x:v>46216.66422453704</x:v>
      </x:c>
      <x:c r="D187" s="23" t="str">
        <x:v>Beth_Kindig</x:v>
      </x:c>
      <x:c r="E187" s="23" t="str">
        <x:v>bullish</x:v>
      </x:c>
      <x:c r="F187" s="34" t="n">
        <x:v>0.8</x:v>
      </x:c>
      <x:c r="G187" s="23" t="str">
        <x:v>auto</x:v>
      </x:c>
      <x:c r="H187" s="23" t="str">
        <x:v>vote 변경</x:v>
      </x:c>
      <x:c r="I187" s="23" t="str">
        <x:v>positive</x:v>
      </x:c>
      <x:c r="J187" s="23" t="n">
        <x:v>3</x:v>
      </x:c>
      <x:c r="K187" s="23" t="n">
        <x:v>0</x:v>
      </x:c>
      <x:c r="L187" s="23" t="n">
        <x:v>3</x:v>
      </x:c>
      <x:c r="M187" s="68" t="n">
        <x:v>1</x:v>
      </x:c>
      <x:c r="N187" s="68" t="n">
        <x:v>0</x:v>
      </x:c>
      <x:c r="O187" s="23" t="str">
        <x:v>positive</x:v>
      </x:c>
      <x:c r="P187" s="23" t="str">
        <x:v>none</x:v>
      </x:c>
      <x:c r="Q187" s="23" t="str">
        <x:v>bullish</x:v>
      </x:c>
      <x:c r="R187" s="23" t="str">
        <x:v>—</x:v>
      </x:c>
      <x:c r="S187" s="23" t="str">
        <x:v>—</x:v>
      </x:c>
      <x:c r="T187" s="23" t="str">
        <x:v>bullish</x:v>
      </x:c>
      <x:c r="U187" s="23" t="str">
        <x:v>bullish</x:v>
      </x:c>
    </x:row>
    <x:row r="188">
      <x:c r="A188" s="23" t="n">
        <x:v>1181</x:v>
      </x:c>
      <x:c r="B188" s="23" t="str">
        <x:v>NVDA</x:v>
      </x:c>
      <x:c r="C188" s="53" t="n">
        <x:v>46216.883101851854</x:v>
      </x:c>
      <x:c r="D188" s="23" t="str">
        <x:v>Beth_Kindig</x:v>
      </x:c>
      <x:c r="E188" s="23" t="str">
        <x:v>bullish</x:v>
      </x:c>
      <x:c r="F188" s="34" t="n">
        <x:v>0.7</x:v>
      </x:c>
      <x:c r="G188" s="23" t="str">
        <x:v>needs_review</x:v>
      </x:c>
      <x:c r="H188" s="23" t="str">
        <x:v>근거만</x:v>
      </x:c>
      <x:c r="I188" s="23" t="str">
        <x:v>positive</x:v>
      </x:c>
      <x:c r="J188" s="23" t="n">
        <x:v>3</x:v>
      </x:c>
      <x:c r="K188" s="23" t="n">
        <x:v>0</x:v>
      </x:c>
      <x:c r="L188" s="23" t="n">
        <x:v>3</x:v>
      </x:c>
      <x:c r="M188" s="68" t="n">
        <x:v>1</x:v>
      </x:c>
      <x:c r="N188" s="68" t="n">
        <x:v>0</x:v>
      </x:c>
      <x:c r="O188" s="23" t="str">
        <x:v>positive</x:v>
      </x:c>
      <x:c r="P188" s="23" t="str">
        <x:v>none</x:v>
      </x:c>
      <x:c r="Q188" s="23" t="str">
        <x:v>bullish</x:v>
      </x:c>
      <x:c r="R188" s="23" t="str">
        <x:v>—</x:v>
      </x:c>
      <x:c r="S188" s="23" t="str">
        <x:v>—</x:v>
      </x:c>
      <x:c r="T188" s="23" t="str">
        <x:v>bullish</x:v>
      </x:c>
      <x:c r="U188" s="23" t="str">
        <x:v>bullish</x:v>
      </x:c>
    </x:row>
    <x:row r="189">
      <x:c r="A189" s="23" t="n">
        <x:v>153</x:v>
      </x:c>
      <x:c r="B189" s="23" t="str">
        <x:v>NVDA</x:v>
      </x:c>
      <x:c r="C189" s="53" t="n">
        <x:v>46217.077361111114</x:v>
      </x:c>
      <x:c r="D189" s="23" t="str">
        <x:v>aleabitoreddit</x:v>
      </x:c>
      <x:c r="E189" s="23" t="str">
        <x:v>bullish</x:v>
      </x:c>
      <x:c r="F189" s="34" t="n">
        <x:v>0.9</x:v>
      </x:c>
      <x:c r="G189" s="23" t="str">
        <x:v>auto</x:v>
      </x:c>
      <x:c r="H189" s="23" t="str">
        <x:v>vote 변경</x:v>
      </x:c>
      <x:c r="I189" s="23" t="str">
        <x:v>positive</x:v>
      </x:c>
      <x:c r="J189" s="23" t="n">
        <x:v>3</x:v>
      </x:c>
      <x:c r="K189" s="23" t="n">
        <x:v>0</x:v>
      </x:c>
      <x:c r="L189" s="23" t="n">
        <x:v>3</x:v>
      </x:c>
      <x:c r="M189" s="68" t="n">
        <x:v>1</x:v>
      </x:c>
      <x:c r="N189" s="68" t="n">
        <x:v>0</x:v>
      </x:c>
      <x:c r="O189" s="23" t="str">
        <x:v>positive</x:v>
      </x:c>
      <x:c r="P189" s="23" t="str">
        <x:v>none</x:v>
      </x:c>
      <x:c r="Q189" s="23" t="str">
        <x:v>bullish</x:v>
      </x:c>
      <x:c r="R189" s="23" t="str">
        <x:v>—</x:v>
      </x:c>
      <x:c r="S189" s="23" t="str">
        <x:v>—</x:v>
      </x:c>
      <x:c r="T189" s="23" t="str">
        <x:v>bullish</x:v>
      </x:c>
      <x:c r="U189" s="23" t="str">
        <x:v>bullish</x:v>
      </x:c>
    </x:row>
    <x:row r="190">
      <x:c r="A190" s="23" t="n">
        <x:v>1191</x:v>
      </x:c>
      <x:c r="B190" s="23" t="str">
        <x:v>NVDA</x:v>
      </x:c>
      <x:c r="C190" s="53" t="n">
        <x:v>46218.04146990741</x:v>
      </x:c>
      <x:c r="D190" s="23" t="str">
        <x:v>Beth_Kindig</x:v>
      </x:c>
      <x:c r="E190" s="23" t="str">
        <x:v>bullish</x:v>
      </x:c>
      <x:c r="F190" s="34" t="n">
        <x:v>0.7</x:v>
      </x:c>
      <x:c r="G190" s="23" t="str">
        <x:v>needs_review</x:v>
      </x:c>
      <x:c r="H190" s="23" t="str">
        <x:v>근거만</x:v>
      </x:c>
      <x:c r="I190" s="23" t="str">
        <x:v>positive</x:v>
      </x:c>
      <x:c r="J190" s="23" t="n">
        <x:v>3</x:v>
      </x:c>
      <x:c r="K190" s="23" t="n">
        <x:v>0</x:v>
      </x:c>
      <x:c r="L190" s="23" t="n">
        <x:v>3</x:v>
      </x:c>
      <x:c r="M190" s="68" t="n">
        <x:v>1</x:v>
      </x:c>
      <x:c r="N190" s="68" t="n">
        <x:v>0</x:v>
      </x:c>
      <x:c r="O190" s="23" t="str">
        <x:v>positive</x:v>
      </x:c>
      <x:c r="P190" s="23" t="str">
        <x:v>none</x:v>
      </x:c>
      <x:c r="Q190" s="23" t="str">
        <x:v>bullish</x:v>
      </x:c>
      <x:c r="R190" s="23" t="str">
        <x:v>—</x:v>
      </x:c>
      <x:c r="S190" s="23" t="str">
        <x:v>—</x:v>
      </x:c>
      <x:c r="T190" s="23" t="str">
        <x:v>bullish</x:v>
      </x:c>
      <x:c r="U190" s="23" t="str">
        <x:v>bullish</x:v>
      </x:c>
    </x:row>
    <x:row r="191">
      <x:c r="A191" s="23" t="n">
        <x:v>104</x:v>
      </x:c>
      <x:c r="B191" s="23" t="str">
        <x:v>NVDA</x:v>
      </x:c>
      <x:c r="C191" s="53" t="n">
        <x:v>46218.62143518519</x:v>
      </x:c>
      <x:c r="D191" s="23" t="str">
        <x:v>aleabitoreddit</x:v>
      </x:c>
      <x:c r="E191" s="23" t="str">
        <x:v>bullish</x:v>
      </x:c>
      <x:c r="F191" s="34" t="n">
        <x:v>0.8</x:v>
      </x:c>
      <x:c r="G191" s="23" t="str">
        <x:v>auto</x:v>
      </x:c>
      <x:c r="H191" s="23" t="str">
        <x:v>vote 변경</x:v>
      </x:c>
      <x:c r="I191" s="23" t="str">
        <x:v>positive</x:v>
      </x:c>
      <x:c r="J191" s="23" t="n">
        <x:v>3</x:v>
      </x:c>
      <x:c r="K191" s="23" t="n">
        <x:v>0</x:v>
      </x:c>
      <x:c r="L191" s="23" t="n">
        <x:v>3</x:v>
      </x:c>
      <x:c r="M191" s="68" t="n">
        <x:v>1</x:v>
      </x:c>
      <x:c r="N191" s="68" t="n">
        <x:v>0</x:v>
      </x:c>
      <x:c r="O191" s="23" t="str">
        <x:v>positive</x:v>
      </x:c>
      <x:c r="P191" s="23" t="str">
        <x:v>none</x:v>
      </x:c>
      <x:c r="Q191" s="23" t="str">
        <x:v>bullish</x:v>
      </x:c>
      <x:c r="R191" s="23" t="str">
        <x:v>—</x:v>
      </x:c>
      <x:c r="S191" s="23" t="str">
        <x:v>—</x:v>
      </x:c>
      <x:c r="T191" s="23" t="str">
        <x:v>bullish</x:v>
      </x:c>
      <x:c r="U191" s="23" t="str">
        <x:v>bullish</x:v>
      </x:c>
    </x:row>
    <x:row r="192">
      <x:c r="A192" s="23" t="n">
        <x:v>144</x:v>
      </x:c>
      <x:c r="B192" s="23" t="str">
        <x:v>NVDA</x:v>
      </x:c>
      <x:c r="C192" s="53" t="n">
        <x:v>46220.61990740741</x:v>
      </x:c>
      <x:c r="D192" s="23" t="str">
        <x:v>aleabitoreddit</x:v>
      </x:c>
      <x:c r="E192" s="23" t="str">
        <x:v>bullish</x:v>
      </x:c>
      <x:c r="F192" s="34" t="n">
        <x:v>0.9</x:v>
      </x:c>
      <x:c r="G192" s="23" t="str">
        <x:v>auto</x:v>
      </x:c>
      <x:c r="H192" s="23" t="str">
        <x:v>vote 변경</x:v>
      </x:c>
      <x:c r="I192" s="23" t="str">
        <x:v>positive</x:v>
      </x:c>
      <x:c r="J192" s="23" t="n">
        <x:v>3</x:v>
      </x:c>
      <x:c r="K192" s="23" t="n">
        <x:v>0</x:v>
      </x:c>
      <x:c r="L192" s="23" t="n">
        <x:v>3</x:v>
      </x:c>
      <x:c r="M192" s="68" t="n">
        <x:v>1</x:v>
      </x:c>
      <x:c r="N192" s="68" t="n">
        <x:v>0</x:v>
      </x:c>
      <x:c r="O192" s="23" t="str">
        <x:v>positive</x:v>
      </x:c>
      <x:c r="P192" s="23" t="str">
        <x:v>none</x:v>
      </x:c>
      <x:c r="Q192" s="23" t="str">
        <x:v>bullish</x:v>
      </x:c>
      <x:c r="R192" s="23" t="str">
        <x:v>—</x:v>
      </x:c>
      <x:c r="S192" s="23" t="str">
        <x:v>—</x:v>
      </x:c>
      <x:c r="T192" s="23" t="str">
        <x:v>bullish</x:v>
      </x:c>
      <x:c r="U192" s="23" t="str">
        <x:v>bullish</x:v>
      </x:c>
    </x:row>
    <x:row r="193">
      <x:c r="A193" s="23" t="n">
        <x:v>1210</x:v>
      </x:c>
      <x:c r="B193" s="23" t="str">
        <x:v>NVDA</x:v>
      </x:c>
      <x:c r="C193" s="53" t="n">
        <x:v>46220.6505787037</x:v>
      </x:c>
      <x:c r="D193" s="23" t="str">
        <x:v>Beth_Kindig</x:v>
      </x:c>
      <x:c r="E193" s="23" t="str">
        <x:v>bullish</x:v>
      </x:c>
      <x:c r="F193" s="34" t="n">
        <x:v>0.6</x:v>
      </x:c>
      <x:c r="G193" s="23" t="str">
        <x:v>needs_review</x:v>
      </x:c>
      <x:c r="H193" s="23" t="str">
        <x:v>근거만</x:v>
      </x:c>
      <x:c r="I193" s="23" t="str">
        <x:v>positive</x:v>
      </x:c>
      <x:c r="J193" s="23" t="n">
        <x:v>3</x:v>
      </x:c>
      <x:c r="K193" s="23" t="n">
        <x:v>0</x:v>
      </x:c>
      <x:c r="L193" s="23" t="n">
        <x:v>3</x:v>
      </x:c>
      <x:c r="M193" s="68" t="n">
        <x:v>1</x:v>
      </x:c>
      <x:c r="N193" s="68" t="n">
        <x:v>0</x:v>
      </x:c>
      <x:c r="O193" s="23" t="str">
        <x:v>positive</x:v>
      </x:c>
      <x:c r="P193" s="23" t="str">
        <x:v>none</x:v>
      </x:c>
      <x:c r="Q193" s="23" t="str">
        <x:v>bullish</x:v>
      </x:c>
      <x:c r="R193" s="23" t="str">
        <x:v>—</x:v>
      </x:c>
      <x:c r="S193" s="23" t="str">
        <x:v>—</x:v>
      </x:c>
      <x:c r="T193" s="23" t="str">
        <x:v>bullish</x:v>
      </x:c>
      <x:c r="U193" s="23" t="str">
        <x:v>bullish</x:v>
      </x:c>
    </x:row>
    <x:row r="194">
      <x:c r="A194" s="23" t="n">
        <x:v>1221</x:v>
      </x:c>
      <x:c r="B194" s="23" t="str">
        <x:v>NVDA</x:v>
      </x:c>
      <x:c r="C194" s="53" t="n">
        <x:v>46221.83925925926</x:v>
      </x:c>
      <x:c r="D194" s="23" t="str">
        <x:v>Beth_Kindig</x:v>
      </x:c>
      <x:c r="E194" s="23" t="str">
        <x:v>bullish</x:v>
      </x:c>
      <x:c r="F194" s="34" t="n">
        <x:v>0.7</x:v>
      </x:c>
      <x:c r="G194" s="23" t="str">
        <x:v>needs_review</x:v>
      </x:c>
      <x:c r="H194" s="23" t="str">
        <x:v>근거만</x:v>
      </x:c>
      <x:c r="I194" s="23" t="str">
        <x:v>positive</x:v>
      </x:c>
      <x:c r="J194" s="23" t="n">
        <x:v>3</x:v>
      </x:c>
      <x:c r="K194" s="23" t="n">
        <x:v>0</x:v>
      </x:c>
      <x:c r="L194" s="23" t="n">
        <x:v>3</x:v>
      </x:c>
      <x:c r="M194" s="68" t="n">
        <x:v>1</x:v>
      </x:c>
      <x:c r="N194" s="68" t="n">
        <x:v>0</x:v>
      </x:c>
      <x:c r="O194" s="23" t="str">
        <x:v>positive</x:v>
      </x:c>
      <x:c r="P194" s="23" t="str">
        <x:v>none</x:v>
      </x:c>
      <x:c r="Q194" s="23" t="str">
        <x:v>bullish</x:v>
      </x:c>
      <x:c r="R194" s="23" t="str">
        <x:v>—</x:v>
      </x:c>
      <x:c r="S194" s="23" t="str">
        <x:v>—</x:v>
      </x:c>
      <x:c r="T194" s="23" t="str">
        <x:v>bullish</x:v>
      </x:c>
      <x:c r="U194" s="23" t="str">
        <x:v>bullish</x:v>
      </x:c>
    </x:row>
    <x:row r="195">
      <x:c r="A195" s="23" t="n">
        <x:v>1266</x:v>
      </x:c>
      <x:c r="B195" s="23" t="str">
        <x:v>NVDA</x:v>
      </x:c>
      <x:c r="C195" s="53" t="n">
        <x:v>46222.59247685185</x:v>
      </x:c>
      <x:c r="D195" s="23" t="str">
        <x:v>StockSavvyShay</x:v>
      </x:c>
      <x:c r="E195" s="23" t="str">
        <x:v>neutral</x:v>
      </x:c>
      <x:c r="F195" s="34" t="n">
        <x:v>0.5</x:v>
      </x:c>
      <x:c r="G195" s="23" t="str">
        <x:v>needs_review</x:v>
      </x:c>
      <x:c r="H195" s="23" t="str">
        <x:v>근거만</x:v>
      </x:c>
      <x:c r="I195" s="23" t="str">
        <x:v>positive</x:v>
      </x:c>
      <x:c r="J195" s="23" t="n">
        <x:v>3</x:v>
      </x:c>
      <x:c r="K195" s="23" t="n">
        <x:v>0</x:v>
      </x:c>
      <x:c r="L195" s="23" t="n">
        <x:v>3</x:v>
      </x:c>
      <x:c r="M195" s="68" t="n">
        <x:v>1</x:v>
      </x:c>
      <x:c r="N195" s="68" t="n">
        <x:v>0</x:v>
      </x:c>
      <x:c r="O195" s="23" t="str">
        <x:v>positive</x:v>
      </x:c>
      <x:c r="P195" s="23" t="str">
        <x:v>none</x:v>
      </x:c>
      <x:c r="Q195" s="23" t="str">
        <x:v>bullish</x:v>
      </x:c>
      <x:c r="R195" s="23" t="str">
        <x:v>—</x:v>
      </x:c>
      <x:c r="S195" s="23" t="str">
        <x:v>—</x:v>
      </x:c>
      <x:c r="T195" s="23" t="str">
        <x:v>bullish</x:v>
      </x:c>
      <x:c r="U195" s="23" t="str">
        <x:v>bullish</x:v>
      </x:c>
    </x:row>
    <x:row r="196">
      <x:c r="A196" s="23" t="n">
        <x:v>1305</x:v>
      </x:c>
      <x:c r="B196" s="23" t="str">
        <x:v>NVDA</x:v>
      </x:c>
      <x:c r="C196" s="53" t="n">
        <x:v>46222.92365740741</x:v>
      </x:c>
      <x:c r="D196" s="23" t="str">
        <x:v>Beth_Kindig</x:v>
      </x:c>
      <x:c r="E196" s="23" t="str">
        <x:v>neutral</x:v>
      </x:c>
      <x:c r="F196" s="34" t="n">
        <x:v>0.5</x:v>
      </x:c>
      <x:c r="G196" s="23" t="str">
        <x:v>needs_review</x:v>
      </x:c>
      <x:c r="H196" s="23" t="str">
        <x:v>근거만</x:v>
      </x:c>
      <x:c r="I196" s="23" t="str">
        <x:v>positive</x:v>
      </x:c>
      <x:c r="J196" s="23" t="n">
        <x:v>3</x:v>
      </x:c>
      <x:c r="K196" s="23" t="n">
        <x:v>0</x:v>
      </x:c>
      <x:c r="L196" s="23" t="n">
        <x:v>3</x:v>
      </x:c>
      <x:c r="M196" s="68" t="n">
        <x:v>1</x:v>
      </x:c>
      <x:c r="N196" s="68" t="n">
        <x:v>0</x:v>
      </x:c>
      <x:c r="O196" s="23" t="str">
        <x:v>positive</x:v>
      </x:c>
      <x:c r="P196" s="23" t="str">
        <x:v>none</x:v>
      </x:c>
      <x:c r="Q196" s="23" t="str">
        <x:v>bullish</x:v>
      </x:c>
      <x:c r="R196" s="23" t="str">
        <x:v>—</x:v>
      </x:c>
      <x:c r="S196" s="23" t="str">
        <x:v>—</x:v>
      </x:c>
      <x:c r="T196" s="23" t="str">
        <x:v>bullish</x:v>
      </x:c>
      <x:c r="U196" s="23" t="str">
        <x:v>bullish</x:v>
      </x:c>
    </x:row>
    <x:row r="197">
      <x:c r="A197" s="23" t="n">
        <x:v>1311</x:v>
      </x:c>
      <x:c r="B197" s="23" t="str">
        <x:v>NVDA</x:v>
      </x:c>
      <x:c r="C197" s="53" t="n">
        <x:v>46222.94520833333</x:v>
      </x:c>
      <x:c r="D197" s="23" t="str">
        <x:v>StockSavvyShay</x:v>
      </x:c>
      <x:c r="E197" s="23" t="str">
        <x:v>neutral</x:v>
      </x:c>
      <x:c r="F197" s="34" t="n">
        <x:v>0.5</x:v>
      </x:c>
      <x:c r="G197" s="23" t="str">
        <x:v>needs_review</x:v>
      </x:c>
      <x:c r="H197" s="23" t="str">
        <x:v>근거만</x:v>
      </x:c>
      <x:c r="I197" s="23" t="str">
        <x:v>positive</x:v>
      </x:c>
      <x:c r="J197" s="23" t="n">
        <x:v>3</x:v>
      </x:c>
      <x:c r="K197" s="23" t="n">
        <x:v>0</x:v>
      </x:c>
      <x:c r="L197" s="23" t="n">
        <x:v>3</x:v>
      </x:c>
      <x:c r="M197" s="68" t="n">
        <x:v>1</x:v>
      </x:c>
      <x:c r="N197" s="68" t="n">
        <x:v>0</x:v>
      </x:c>
      <x:c r="O197" s="23" t="str">
        <x:v>positive</x:v>
      </x:c>
      <x:c r="P197" s="23" t="str">
        <x:v>none</x:v>
      </x:c>
      <x:c r="Q197" s="23" t="str">
        <x:v>bullish</x:v>
      </x:c>
      <x:c r="R197" s="23" t="str">
        <x:v>—</x:v>
      </x:c>
      <x:c r="S197" s="23" t="str">
        <x:v>—</x:v>
      </x:c>
      <x:c r="T197" s="23" t="str">
        <x:v>bullish</x:v>
      </x:c>
      <x:c r="U197" s="23" t="str">
        <x:v>bullish</x:v>
      </x:c>
    </x:row>
    <x:row r="198">
      <x:c r="A198" s="23" t="n">
        <x:v>1316</x:v>
      </x:c>
      <x:c r="B198" s="23" t="str">
        <x:v>NVDA</x:v>
      </x:c>
      <x:c r="C198" s="53" t="n">
        <x:v>46222.963171296295</x:v>
      </x:c>
      <x:c r="D198" s="23" t="str">
        <x:v>StockSavvyShay</x:v>
      </x:c>
      <x:c r="E198" s="23" t="str">
        <x:v>bullish</x:v>
      </x:c>
      <x:c r="F198" s="34" t="n">
        <x:v>0.6</x:v>
      </x:c>
      <x:c r="G198" s="23" t="str">
        <x:v>needs_review</x:v>
      </x:c>
      <x:c r="H198" s="23" t="str">
        <x:v>근거만</x:v>
      </x:c>
      <x:c r="I198" s="23" t="str">
        <x:v>positive</x:v>
      </x:c>
      <x:c r="J198" s="23" t="n">
        <x:v>3</x:v>
      </x:c>
      <x:c r="K198" s="23" t="n">
        <x:v>0</x:v>
      </x:c>
      <x:c r="L198" s="23" t="n">
        <x:v>3</x:v>
      </x:c>
      <x:c r="M198" s="68" t="n">
        <x:v>1</x:v>
      </x:c>
      <x:c r="N198" s="68" t="n">
        <x:v>0</x:v>
      </x:c>
      <x:c r="O198" s="23" t="str">
        <x:v>positive</x:v>
      </x:c>
      <x:c r="P198" s="23" t="str">
        <x:v>none</x:v>
      </x:c>
      <x:c r="Q198" s="23" t="str">
        <x:v>bullish</x:v>
      </x:c>
      <x:c r="R198" s="23" t="str">
        <x:v>—</x:v>
      </x:c>
      <x:c r="S198" s="23" t="str">
        <x:v>—</x:v>
      </x:c>
      <x:c r="T198" s="23" t="str">
        <x:v>bullish</x:v>
      </x:c>
      <x:c r="U198" s="23" t="str">
        <x:v>bullish</x:v>
      </x:c>
    </x:row>
    <x:row r="199">
      <x:c r="A199" s="23" t="n">
        <x:v>1416</x:v>
      </x:c>
      <x:c r="B199" s="23" t="str">
        <x:v>NVDA</x:v>
      </x:c>
      <x:c r="C199" s="53" t="n">
        <x:v>46223.89148148148</x:v>
      </x:c>
      <x:c r="D199" s="23" t="str">
        <x:v>StockSavvyShay</x:v>
      </x:c>
      <x:c r="E199" s="23" t="str">
        <x:v>neutral</x:v>
      </x:c>
      <x:c r="F199" s="34" t="n">
        <x:v>0</x:v>
      </x:c>
      <x:c r="G199" s="23" t="str">
        <x:v>needs_review</x:v>
      </x:c>
      <x:c r="H199" s="23" t="str">
        <x:v>근거만</x:v>
      </x:c>
      <x:c r="I199" s="23" t="str">
        <x:v>positive</x:v>
      </x:c>
      <x:c r="J199" s="23" t="n">
        <x:v>3</x:v>
      </x:c>
      <x:c r="K199" s="23" t="n">
        <x:v>0</x:v>
      </x:c>
      <x:c r="L199" s="23" t="n">
        <x:v>3</x:v>
      </x:c>
      <x:c r="M199" s="68" t="n">
        <x:v>1</x:v>
      </x:c>
      <x:c r="N199" s="68" t="n">
        <x:v>0</x:v>
      </x:c>
      <x:c r="O199" s="23" t="str">
        <x:v>positive</x:v>
      </x:c>
      <x:c r="P199" s="23" t="str">
        <x:v>none</x:v>
      </x:c>
      <x:c r="Q199" s="23" t="str">
        <x:v>bullish</x:v>
      </x:c>
      <x:c r="R199" s="23" t="str">
        <x:v>—</x:v>
      </x:c>
      <x:c r="S199" s="23" t="str">
        <x:v>—</x:v>
      </x:c>
      <x:c r="T199" s="23" t="str">
        <x:v>bullish</x:v>
      </x:c>
      <x:c r="U199" s="23" t="str">
        <x:v>bullish</x:v>
      </x:c>
    </x:row>
    <x:row r="200">
      <x:c r="A200" s="23" t="n">
        <x:v>1414</x:v>
      </x:c>
      <x:c r="B200" s="23" t="str">
        <x:v>NVDA</x:v>
      </x:c>
      <x:c r="C200" s="53" t="n">
        <x:v>46223.89530092593</x:v>
      </x:c>
      <x:c r="D200" s="23" t="str">
        <x:v>StockMKTNewz</x:v>
      </x:c>
      <x:c r="E200" s="23" t="str">
        <x:v>neutral</x:v>
      </x:c>
      <x:c r="F200" s="34" t="n">
        <x:v>1</x:v>
      </x:c>
      <x:c r="G200" s="23" t="str">
        <x:v>auto</x:v>
      </x:c>
      <x:c r="H200" s="23" t="str">
        <x:v>근거만</x:v>
      </x:c>
      <x:c r="I200" s="23" t="str">
        <x:v>positive</x:v>
      </x:c>
      <x:c r="J200" s="23" t="n">
        <x:v>3</x:v>
      </x:c>
      <x:c r="K200" s="23" t="n">
        <x:v>0</x:v>
      </x:c>
      <x:c r="L200" s="23" t="n">
        <x:v>3</x:v>
      </x:c>
      <x:c r="M200" s="68" t="n">
        <x:v>1</x:v>
      </x:c>
      <x:c r="N200" s="68" t="n">
        <x:v>0</x:v>
      </x:c>
      <x:c r="O200" s="23" t="str">
        <x:v>positive</x:v>
      </x:c>
      <x:c r="P200" s="23" t="str">
        <x:v>none</x:v>
      </x:c>
      <x:c r="Q200" s="23" t="str">
        <x:v>bullish</x:v>
      </x:c>
      <x:c r="R200" s="23" t="str">
        <x:v>—</x:v>
      </x:c>
      <x:c r="S200" s="23" t="str">
        <x:v>—</x:v>
      </x:c>
      <x:c r="T200" s="23" t="str">
        <x:v>bullish</x:v>
      </x:c>
      <x:c r="U200" s="23" t="str">
        <x:v>bullish</x:v>
      </x:c>
    </x:row>
    <x:row r="201">
      <x:c r="A201" s="23" t="n">
        <x:v>1419</x:v>
      </x:c>
      <x:c r="B201" s="23" t="str">
        <x:v>NVDA</x:v>
      </x:c>
      <x:c r="C201" s="53" t="n">
        <x:v>46223.901550925926</x:v>
      </x:c>
      <x:c r="D201" s="23" t="str">
        <x:v>aleabitoreddit</x:v>
      </x:c>
      <x:c r="E201" s="23" t="str">
        <x:v>neutral</x:v>
      </x:c>
      <x:c r="F201" s="34" t="n">
        <x:v>0</x:v>
      </x:c>
      <x:c r="G201" s="23" t="str">
        <x:v>needs_review</x:v>
      </x:c>
      <x:c r="H201" s="23" t="str">
        <x:v>근거만</x:v>
      </x:c>
      <x:c r="I201" s="23" t="str">
        <x:v>positive</x:v>
      </x:c>
      <x:c r="J201" s="23" t="n">
        <x:v>3</x:v>
      </x:c>
      <x:c r="K201" s="23" t="n">
        <x:v>0</x:v>
      </x:c>
      <x:c r="L201" s="23" t="n">
        <x:v>3</x:v>
      </x:c>
      <x:c r="M201" s="68" t="n">
        <x:v>1</x:v>
      </x:c>
      <x:c r="N201" s="68" t="n">
        <x:v>0</x:v>
      </x:c>
      <x:c r="O201" s="23" t="str">
        <x:v>positive</x:v>
      </x:c>
      <x:c r="P201" s="23" t="str">
        <x:v>none</x:v>
      </x:c>
      <x:c r="Q201" s="23" t="str">
        <x:v>bullish</x:v>
      </x:c>
      <x:c r="R201" s="23" t="str">
        <x:v>—</x:v>
      </x:c>
      <x:c r="S201" s="23" t="str">
        <x:v>—</x:v>
      </x:c>
      <x:c r="T201" s="23" t="str">
        <x:v>bullish</x:v>
      </x:c>
      <x:c r="U201" s="23" t="str">
        <x:v>bullish</x:v>
      </x:c>
    </x:row>
    <x:row r="202">
      <x:c r="A202" s="23" t="n">
        <x:v>1421</x:v>
      </x:c>
      <x:c r="B202" s="23" t="str">
        <x:v>NVDA</x:v>
      </x:c>
      <x:c r="C202" s="53" t="n">
        <x:v>46223.91784722222</x:v>
      </x:c>
      <x:c r="D202" s="23" t="str">
        <x:v>StockSavvyShay</x:v>
      </x:c>
      <x:c r="E202" s="23" t="str">
        <x:v>neutral</x:v>
      </x:c>
      <x:c r="F202" s="34" t="n">
        <x:v>0.9</x:v>
      </x:c>
      <x:c r="G202" s="23" t="str">
        <x:v>auto</x:v>
      </x:c>
      <x:c r="H202" s="23" t="str">
        <x:v>근거만</x:v>
      </x:c>
      <x:c r="I202" s="23" t="str">
        <x:v>positive</x:v>
      </x:c>
      <x:c r="J202" s="23" t="n">
        <x:v>3</x:v>
      </x:c>
      <x:c r="K202" s="23" t="n">
        <x:v>0</x:v>
      </x:c>
      <x:c r="L202" s="23" t="n">
        <x:v>3</x:v>
      </x:c>
      <x:c r="M202" s="68" t="n">
        <x:v>1</x:v>
      </x:c>
      <x:c r="N202" s="68" t="n">
        <x:v>0</x:v>
      </x:c>
      <x:c r="O202" s="23" t="str">
        <x:v>positive</x:v>
      </x:c>
      <x:c r="P202" s="23" t="str">
        <x:v>none</x:v>
      </x:c>
      <x:c r="Q202" s="23" t="str">
        <x:v>bullish</x:v>
      </x:c>
      <x:c r="R202" s="23" t="str">
        <x:v>—</x:v>
      </x:c>
      <x:c r="S202" s="23" t="str">
        <x:v>—</x:v>
      </x:c>
      <x:c r="T202" s="23" t="str">
        <x:v>bullish</x:v>
      </x:c>
      <x:c r="U202" s="23" t="str">
        <x:v>bullish</x:v>
      </x:c>
    </x:row>
    <x:row r="203">
      <x:c r="A203" s="23" t="n">
        <x:v>1456</x:v>
      </x:c>
      <x:c r="B203" s="23" t="str">
        <x:v>NVDA</x:v>
      </x:c>
      <x:c r="C203" s="53" t="n">
        <x:v>46224.52532407407</x:v>
      </x:c>
      <x:c r="D203" s="23" t="str">
        <x:v>StockMKTNewz</x:v>
      </x:c>
      <x:c r="E203" s="23" t="str">
        <x:v>neutral</x:v>
      </x:c>
      <x:c r="F203" s="34" t="n">
        <x:v>0.9</x:v>
      </x:c>
      <x:c r="G203" s="23" t="str">
        <x:v>auto</x:v>
      </x:c>
      <x:c r="H203" s="23" t="str">
        <x:v>근거만</x:v>
      </x:c>
      <x:c r="I203" s="23" t="str">
        <x:v>positive</x:v>
      </x:c>
      <x:c r="J203" s="23" t="n">
        <x:v>3</x:v>
      </x:c>
      <x:c r="K203" s="23" t="n">
        <x:v>0</x:v>
      </x:c>
      <x:c r="L203" s="23" t="n">
        <x:v>3</x:v>
      </x:c>
      <x:c r="M203" s="68" t="n">
        <x:v>1</x:v>
      </x:c>
      <x:c r="N203" s="68" t="n">
        <x:v>0</x:v>
      </x:c>
      <x:c r="O203" s="23" t="str">
        <x:v>positive</x:v>
      </x:c>
      <x:c r="P203" s="23" t="str">
        <x:v>none</x:v>
      </x:c>
      <x:c r="Q203" s="23" t="str">
        <x:v>bullish</x:v>
      </x:c>
      <x:c r="R203" s="23" t="str">
        <x:v>—</x:v>
      </x:c>
      <x:c r="S203" s="23" t="str">
        <x:v>—</x:v>
      </x:c>
      <x:c r="T203" s="23" t="str">
        <x:v>bullish</x:v>
      </x:c>
      <x:c r="U203" s="23" t="str">
        <x:v>bullish</x:v>
      </x:c>
    </x:row>
    <x:row r="204">
      <x:c r="A204" s="23" t="n">
        <x:v>1458</x:v>
      </x:c>
      <x:c r="B204" s="23" t="str">
        <x:v>NVDA</x:v>
      </x:c>
      <x:c r="C204" s="53" t="n">
        <x:v>46224.53224537037</x:v>
      </x:c>
      <x:c r="D204" s="23" t="str">
        <x:v>StockSavvyShay</x:v>
      </x:c>
      <x:c r="E204" s="23" t="str">
        <x:v>neutral</x:v>
      </x:c>
      <x:c r="F204" s="34" t="n">
        <x:v>0</x:v>
      </x:c>
      <x:c r="G204" s="23" t="str">
        <x:v>needs_review</x:v>
      </x:c>
      <x:c r="H204" s="23" t="str">
        <x:v>근거만</x:v>
      </x:c>
      <x:c r="I204" s="23" t="str">
        <x:v>positive</x:v>
      </x:c>
      <x:c r="J204" s="23" t="n">
        <x:v>3</x:v>
      </x:c>
      <x:c r="K204" s="23" t="n">
        <x:v>0</x:v>
      </x:c>
      <x:c r="L204" s="23" t="n">
        <x:v>3</x:v>
      </x:c>
      <x:c r="M204" s="68" t="n">
        <x:v>1</x:v>
      </x:c>
      <x:c r="N204" s="68" t="n">
        <x:v>0</x:v>
      </x:c>
      <x:c r="O204" s="23" t="str">
        <x:v>positive</x:v>
      </x:c>
      <x:c r="P204" s="23" t="str">
        <x:v>none</x:v>
      </x:c>
      <x:c r="Q204" s="23" t="str">
        <x:v>bullish</x:v>
      </x:c>
      <x:c r="R204" s="23" t="str">
        <x:v>—</x:v>
      </x:c>
      <x:c r="S204" s="23" t="str">
        <x:v>—</x:v>
      </x:c>
      <x:c r="T204" s="23" t="str">
        <x:v>bullish</x:v>
      </x:c>
      <x:c r="U204" s="23" t="str">
        <x:v>bullish</x:v>
      </x:c>
    </x:row>
    <x:row r="205">
      <x:c r="A205" s="23" t="n">
        <x:v>1462</x:v>
      </x:c>
      <x:c r="B205" s="23" t="str">
        <x:v>NVDA</x:v>
      </x:c>
      <x:c r="C205" s="53" t="n">
        <x:v>46224.54877314815</x:v>
      </x:c>
      <x:c r="D205" s="23" t="str">
        <x:v>StockSavvyShay</x:v>
      </x:c>
      <x:c r="E205" s="23" t="str">
        <x:v>bullish</x:v>
      </x:c>
      <x:c r="F205" s="34" t="n">
        <x:v>0.8</x:v>
      </x:c>
      <x:c r="G205" s="23" t="str">
        <x:v>auto</x:v>
      </x:c>
      <x:c r="H205" s="23" t="str">
        <x:v>vote 변경</x:v>
      </x:c>
      <x:c r="I205" s="23" t="str">
        <x:v>positive</x:v>
      </x:c>
      <x:c r="J205" s="23" t="n">
        <x:v>3</x:v>
      </x:c>
      <x:c r="K205" s="23" t="n">
        <x:v>0</x:v>
      </x:c>
      <x:c r="L205" s="23" t="n">
        <x:v>3</x:v>
      </x:c>
      <x:c r="M205" s="68" t="n">
        <x:v>1</x:v>
      </x:c>
      <x:c r="N205" s="68" t="n">
        <x:v>0</x:v>
      </x:c>
      <x:c r="O205" s="23" t="str">
        <x:v>positive</x:v>
      </x:c>
      <x:c r="P205" s="23" t="str">
        <x:v>none</x:v>
      </x:c>
      <x:c r="Q205" s="23" t="str">
        <x:v>bullish</x:v>
      </x:c>
      <x:c r="R205" s="23" t="str">
        <x:v>—</x:v>
      </x:c>
      <x:c r="S205" s="23" t="str">
        <x:v>—</x:v>
      </x:c>
      <x:c r="T205" s="23" t="str">
        <x:v>bullish</x:v>
      </x:c>
      <x:c r="U205" s="23" t="str">
        <x:v>bullish</x:v>
      </x:c>
    </x:row>
    <x:row r="206">
      <x:c r="A206" s="23" t="n">
        <x:v>1475</x:v>
      </x:c>
      <x:c r="B206" s="23" t="str">
        <x:v>NVDA</x:v>
      </x:c>
      <x:c r="C206" s="53" t="n">
        <x:v>46224.57355324074</x:v>
      </x:c>
      <x:c r="D206" s="23" t="str">
        <x:v>StockSavvyShay</x:v>
      </x:c>
      <x:c r="E206" s="23" t="str">
        <x:v>neutral</x:v>
      </x:c>
      <x:c r="F206" s="34" t="n">
        <x:v>0.5</x:v>
      </x:c>
      <x:c r="G206" s="23" t="str">
        <x:v>needs_review</x:v>
      </x:c>
      <x:c r="H206" s="23" t="str">
        <x:v>근거만</x:v>
      </x:c>
      <x:c r="I206" s="23" t="str">
        <x:v>positive</x:v>
      </x:c>
      <x:c r="J206" s="23" t="n">
        <x:v>3</x:v>
      </x:c>
      <x:c r="K206" s="23" t="n">
        <x:v>0</x:v>
      </x:c>
      <x:c r="L206" s="23" t="n">
        <x:v>3</x:v>
      </x:c>
      <x:c r="M206" s="68" t="n">
        <x:v>1</x:v>
      </x:c>
      <x:c r="N206" s="68" t="n">
        <x:v>0</x:v>
      </x:c>
      <x:c r="O206" s="23" t="str">
        <x:v>positive</x:v>
      </x:c>
      <x:c r="P206" s="23" t="str">
        <x:v>none</x:v>
      </x:c>
      <x:c r="Q206" s="23" t="str">
        <x:v>bullish</x:v>
      </x:c>
      <x:c r="R206" s="23" t="str">
        <x:v>—</x:v>
      </x:c>
      <x:c r="S206" s="23" t="str">
        <x:v>—</x:v>
      </x:c>
      <x:c r="T206" s="23" t="str">
        <x:v>bullish</x:v>
      </x:c>
      <x:c r="U206" s="23" t="str">
        <x:v>bullish</x:v>
      </x:c>
    </x:row>
    <x:row r="207">
      <x:c r="A207" s="23" t="n">
        <x:v>1478</x:v>
      </x:c>
      <x:c r="B207" s="23" t="str">
        <x:v>NVDA</x:v>
      </x:c>
      <x:c r="C207" s="53" t="n">
        <x:v>46224.60238425926</x:v>
      </x:c>
      <x:c r="D207" s="23" t="str">
        <x:v>StockSavvyShay</x:v>
      </x:c>
      <x:c r="E207" s="23" t="str">
        <x:v>bullish</x:v>
      </x:c>
      <x:c r="F207" s="34" t="n">
        <x:v>0.7</x:v>
      </x:c>
      <x:c r="G207" s="23" t="str">
        <x:v>needs_review</x:v>
      </x:c>
      <x:c r="H207" s="23" t="str">
        <x:v>근거만</x:v>
      </x:c>
      <x:c r="I207" s="23" t="str">
        <x:v>positive</x:v>
      </x:c>
      <x:c r="J207" s="23" t="n">
        <x:v>3</x:v>
      </x:c>
      <x:c r="K207" s="23" t="n">
        <x:v>0</x:v>
      </x:c>
      <x:c r="L207" s="23" t="n">
        <x:v>3</x:v>
      </x:c>
      <x:c r="M207" s="68" t="n">
        <x:v>1</x:v>
      </x:c>
      <x:c r="N207" s="68" t="n">
        <x:v>0</x:v>
      </x:c>
      <x:c r="O207" s="23" t="str">
        <x:v>positive</x:v>
      </x:c>
      <x:c r="P207" s="23" t="str">
        <x:v>none</x:v>
      </x:c>
      <x:c r="Q207" s="23" t="str">
        <x:v>bullish</x:v>
      </x:c>
      <x:c r="R207" s="23" t="str">
        <x:v>—</x:v>
      </x:c>
      <x:c r="S207" s="23" t="str">
        <x:v>—</x:v>
      </x:c>
      <x:c r="T207" s="23" t="str">
        <x:v>bullish</x:v>
      </x:c>
      <x:c r="U207" s="23" t="str">
        <x:v>bullish</x:v>
      </x:c>
    </x:row>
    <x:row r="208">
      <x:c r="A208" s="23" t="n">
        <x:v>1482</x:v>
      </x:c>
      <x:c r="B208" s="23" t="str">
        <x:v>NVDA</x:v>
      </x:c>
      <x:c r="C208" s="53" t="n">
        <x:v>46224.626493055555</x:v>
      </x:c>
      <x:c r="D208" s="23" t="str">
        <x:v>StockMKTNewz</x:v>
      </x:c>
      <x:c r="E208" s="23" t="str">
        <x:v>bullish</x:v>
      </x:c>
      <x:c r="F208" s="34" t="n">
        <x:v>0.8</x:v>
      </x:c>
      <x:c r="G208" s="23" t="str">
        <x:v>auto</x:v>
      </x:c>
      <x:c r="H208" s="23" t="str">
        <x:v>vote 변경</x:v>
      </x:c>
      <x:c r="I208" s="23" t="str">
        <x:v>positive</x:v>
      </x:c>
      <x:c r="J208" s="23" t="n">
        <x:v>4</x:v>
      </x:c>
      <x:c r="K208" s="23" t="n">
        <x:v>0</x:v>
      </x:c>
      <x:c r="L208" s="23" t="n">
        <x:v>4</x:v>
      </x:c>
      <x:c r="M208" s="68" t="n">
        <x:v>1</x:v>
      </x:c>
      <x:c r="N208" s="68" t="n">
        <x:v>0</x:v>
      </x:c>
      <x:c r="O208" s="23" t="str">
        <x:v>positive</x:v>
      </x:c>
      <x:c r="P208" s="23" t="str">
        <x:v>none</x:v>
      </x:c>
      <x:c r="Q208" s="23" t="str">
        <x:v>bullish</x:v>
      </x:c>
      <x:c r="R208" s="23" t="str">
        <x:v>—</x:v>
      </x:c>
      <x:c r="S208" s="23" t="str">
        <x:v>bullish</x:v>
      </x:c>
      <x:c r="T208" s="23" t="str">
        <x:v>bullish</x:v>
      </x:c>
      <x:c r="U208" s="23" t="str">
        <x:v>bullish</x:v>
      </x:c>
    </x:row>
    <x:row r="209">
      <x:c r="A209" s="23" t="n">
        <x:v>1483</x:v>
      </x:c>
      <x:c r="B209" s="23" t="str">
        <x:v>NVDA</x:v>
      </x:c>
      <x:c r="C209" s="53" t="n">
        <x:v>46224.62978009259</x:v>
      </x:c>
      <x:c r="D209" s="23" t="str">
        <x:v>StockSavvyShay</x:v>
      </x:c>
      <x:c r="E209" s="23" t="str">
        <x:v>bullish</x:v>
      </x:c>
      <x:c r="F209" s="34" t="n">
        <x:v>0.8</x:v>
      </x:c>
      <x:c r="G209" s="23" t="str">
        <x:v>auto</x:v>
      </x:c>
      <x:c r="H209" s="23" t="str">
        <x:v>vote 변경</x:v>
      </x:c>
      <x:c r="I209" s="23" t="str">
        <x:v>positive</x:v>
      </x:c>
      <x:c r="J209" s="23" t="n">
        <x:v>4</x:v>
      </x:c>
      <x:c r="K209" s="23" t="n">
        <x:v>0</x:v>
      </x:c>
      <x:c r="L209" s="23" t="n">
        <x:v>4</x:v>
      </x:c>
      <x:c r="M209" s="68" t="n">
        <x:v>1</x:v>
      </x:c>
      <x:c r="N209" s="68" t="n">
        <x:v>0</x:v>
      </x:c>
      <x:c r="O209" s="23" t="str">
        <x:v>positive</x:v>
      </x:c>
      <x:c r="P209" s="23" t="str">
        <x:v>none</x:v>
      </x:c>
      <x:c r="Q209" s="23" t="str">
        <x:v>bullish</x:v>
      </x:c>
      <x:c r="R209" s="23" t="str">
        <x:v>—</x:v>
      </x:c>
      <x:c r="S209" s="23" t="str">
        <x:v>bullish</x:v>
      </x:c>
      <x:c r="T209" s="23" t="str">
        <x:v>bullish</x:v>
      </x:c>
      <x:c r="U209" s="23" t="str">
        <x:v>bullish</x:v>
      </x:c>
    </x:row>
    <x:row r="210">
      <x:c r="A210" s="23" t="n">
        <x:v>1485</x:v>
      </x:c>
      <x:c r="B210" s="23" t="str">
        <x:v>NVDA</x:v>
      </x:c>
      <x:c r="C210" s="53" t="n">
        <x:v>46224.635</x:v>
      </x:c>
      <x:c r="D210" s="23" t="str">
        <x:v>StockSavvyShay</x:v>
      </x:c>
      <x:c r="E210" s="23" t="str">
        <x:v>bullish</x:v>
      </x:c>
      <x:c r="F210" s="34" t="n">
        <x:v>0.8</x:v>
      </x:c>
      <x:c r="G210" s="23" t="str">
        <x:v>auto</x:v>
      </x:c>
      <x:c r="H210" s="23" t="str">
        <x:v>vote 변경</x:v>
      </x:c>
      <x:c r="I210" s="23" t="str">
        <x:v>positive</x:v>
      </x:c>
      <x:c r="J210" s="23" t="n">
        <x:v>4</x:v>
      </x:c>
      <x:c r="K210" s="23" t="n">
        <x:v>0</x:v>
      </x:c>
      <x:c r="L210" s="23" t="n">
        <x:v>4</x:v>
      </x:c>
      <x:c r="M210" s="68" t="n">
        <x:v>1</x:v>
      </x:c>
      <x:c r="N210" s="68" t="n">
        <x:v>0</x:v>
      </x:c>
      <x:c r="O210" s="23" t="str">
        <x:v>positive</x:v>
      </x:c>
      <x:c r="P210" s="23" t="str">
        <x:v>none</x:v>
      </x:c>
      <x:c r="Q210" s="23" t="str">
        <x:v>bullish</x:v>
      </x:c>
      <x:c r="R210" s="23" t="str">
        <x:v>—</x:v>
      </x:c>
      <x:c r="S210" s="23" t="str">
        <x:v>bullish</x:v>
      </x:c>
      <x:c r="T210" s="23" t="str">
        <x:v>bullish</x:v>
      </x:c>
      <x:c r="U210" s="23" t="str">
        <x:v>bullish</x:v>
      </x:c>
    </x:row>
    <x:row r="211">
      <x:c r="A211" s="23" t="n">
        <x:v>1489</x:v>
      </x:c>
      <x:c r="B211" s="23" t="str">
        <x:v>NVDA</x:v>
      </x:c>
      <x:c r="C211" s="53" t="n">
        <x:v>46224.638703703706</x:v>
      </x:c>
      <x:c r="D211" s="23" t="str">
        <x:v>StockMKTNewz</x:v>
      </x:c>
      <x:c r="E211" s="23" t="str">
        <x:v>neutral</x:v>
      </x:c>
      <x:c r="F211" s="34" t="n">
        <x:v>0.9</x:v>
      </x:c>
      <x:c r="G211" s="23" t="str">
        <x:v>auto</x:v>
      </x:c>
      <x:c r="H211" s="23" t="str">
        <x:v>근거만</x:v>
      </x:c>
      <x:c r="I211" s="23" t="str">
        <x:v>positive</x:v>
      </x:c>
      <x:c r="J211" s="23" t="n">
        <x:v>4</x:v>
      </x:c>
      <x:c r="K211" s="23" t="n">
        <x:v>0</x:v>
      </x:c>
      <x:c r="L211" s="23" t="n">
        <x:v>4</x:v>
      </x:c>
      <x:c r="M211" s="68" t="n">
        <x:v>1</x:v>
      </x:c>
      <x:c r="N211" s="68" t="n">
        <x:v>0</x:v>
      </x:c>
      <x:c r="O211" s="23" t="str">
        <x:v>positive</x:v>
      </x:c>
      <x:c r="P211" s="23" t="str">
        <x:v>none</x:v>
      </x:c>
      <x:c r="Q211" s="23" t="str">
        <x:v>bullish</x:v>
      </x:c>
      <x:c r="R211" s="23" t="str">
        <x:v>—</x:v>
      </x:c>
      <x:c r="S211" s="23" t="str">
        <x:v>bullish</x:v>
      </x:c>
      <x:c r="T211" s="23" t="str">
        <x:v>bullish</x:v>
      </x:c>
      <x:c r="U211" s="23" t="str">
        <x:v>bullish</x:v>
      </x:c>
    </x:row>
    <x:row r="212">
      <x:c r="A212" s="23" t="n">
        <x:v>1500</x:v>
      </x:c>
      <x:c r="B212" s="23" t="str">
        <x:v>NVDA</x:v>
      </x:c>
      <x:c r="C212" s="53" t="n">
        <x:v>46224.6616087963</x:v>
      </x:c>
      <x:c r="D212" s="23" t="str">
        <x:v>StockSavvyShay</x:v>
      </x:c>
      <x:c r="E212" s="23" t="str">
        <x:v>bullish</x:v>
      </x:c>
      <x:c r="F212" s="34" t="n">
        <x:v>0.6</x:v>
      </x:c>
      <x:c r="G212" s="23" t="str">
        <x:v>needs_review</x:v>
      </x:c>
      <x:c r="H212" s="23" t="str">
        <x:v>근거만</x:v>
      </x:c>
      <x:c r="I212" s="23" t="str">
        <x:v>positive</x:v>
      </x:c>
      <x:c r="J212" s="23" t="n">
        <x:v>4</x:v>
      </x:c>
      <x:c r="K212" s="23" t="n">
        <x:v>0</x:v>
      </x:c>
      <x:c r="L212" s="23" t="n">
        <x:v>4</x:v>
      </x:c>
      <x:c r="M212" s="68" t="n">
        <x:v>1</x:v>
      </x:c>
      <x:c r="N212" s="68" t="n">
        <x:v>0</x:v>
      </x:c>
      <x:c r="O212" s="23" t="str">
        <x:v>positive</x:v>
      </x:c>
      <x:c r="P212" s="23" t="str">
        <x:v>none</x:v>
      </x:c>
      <x:c r="Q212" s="23" t="str">
        <x:v>bullish</x:v>
      </x:c>
      <x:c r="R212" s="23" t="str">
        <x:v>—</x:v>
      </x:c>
      <x:c r="S212" s="23" t="str">
        <x:v>bullish</x:v>
      </x:c>
      <x:c r="T212" s="23" t="str">
        <x:v>bullish</x:v>
      </x:c>
      <x:c r="U212" s="23" t="str">
        <x:v>bullish</x:v>
      </x:c>
    </x:row>
    <x:row r="213">
      <x:c r="A213" s="23" t="n">
        <x:v>1503</x:v>
      </x:c>
      <x:c r="B213" s="23" t="str">
        <x:v>NVDA</x:v>
      </x:c>
      <x:c r="C213" s="53" t="n">
        <x:v>46224.67145833333</x:v>
      </x:c>
      <x:c r="D213" s="23" t="str">
        <x:v>StockSavvyShay</x:v>
      </x:c>
      <x:c r="E213" s="23" t="str">
        <x:v>bullish</x:v>
      </x:c>
      <x:c r="F213" s="34" t="n">
        <x:v>0.8</x:v>
      </x:c>
      <x:c r="G213" s="23" t="str">
        <x:v>auto</x:v>
      </x:c>
      <x:c r="H213" s="23" t="str">
        <x:v>vote 변경</x:v>
      </x:c>
      <x:c r="I213" s="23" t="str">
        <x:v>positive</x:v>
      </x:c>
      <x:c r="J213" s="23" t="n">
        <x:v>4</x:v>
      </x:c>
      <x:c r="K213" s="23" t="n">
        <x:v>0</x:v>
      </x:c>
      <x:c r="L213" s="23" t="n">
        <x:v>4</x:v>
      </x:c>
      <x:c r="M213" s="68" t="n">
        <x:v>1</x:v>
      </x:c>
      <x:c r="N213" s="68" t="n">
        <x:v>0</x:v>
      </x:c>
      <x:c r="O213" s="23" t="str">
        <x:v>positive</x:v>
      </x:c>
      <x:c r="P213" s="23" t="str">
        <x:v>none</x:v>
      </x:c>
      <x:c r="Q213" s="23" t="str">
        <x:v>bullish</x:v>
      </x:c>
      <x:c r="R213" s="23" t="str">
        <x:v>—</x:v>
      </x:c>
      <x:c r="S213" s="23" t="str">
        <x:v>bullish</x:v>
      </x:c>
      <x:c r="T213" s="23" t="str">
        <x:v>bullish</x:v>
      </x:c>
      <x:c r="U213" s="23" t="str">
        <x:v>bullish</x:v>
      </x:c>
    </x:row>
    <x:row r="214">
      <x:c r="A214" s="23" t="n">
        <x:v>1521</x:v>
      </x:c>
      <x:c r="B214" s="23" t="str">
        <x:v>NVDA</x:v>
      </x:c>
      <x:c r="C214" s="53" t="n">
        <x:v>46224.772731481484</x:v>
      </x:c>
      <x:c r="D214" s="23" t="str">
        <x:v>StockSavvyShay</x:v>
      </x:c>
      <x:c r="E214" s="23" t="str">
        <x:v>bullish</x:v>
      </x:c>
      <x:c r="F214" s="34" t="n">
        <x:v>0.8</x:v>
      </x:c>
      <x:c r="G214" s="23" t="str">
        <x:v>auto</x:v>
      </x:c>
      <x:c r="H214" s="23" t="str">
        <x:v>vote 변경</x:v>
      </x:c>
      <x:c r="I214" s="23" t="str">
        <x:v>positive</x:v>
      </x:c>
      <x:c r="J214" s="23" t="n">
        <x:v>4</x:v>
      </x:c>
      <x:c r="K214" s="23" t="n">
        <x:v>0</x:v>
      </x:c>
      <x:c r="L214" s="23" t="n">
        <x:v>4</x:v>
      </x:c>
      <x:c r="M214" s="68" t="n">
        <x:v>1</x:v>
      </x:c>
      <x:c r="N214" s="68" t="n">
        <x:v>0</x:v>
      </x:c>
      <x:c r="O214" s="23" t="str">
        <x:v>positive</x:v>
      </x:c>
      <x:c r="P214" s="23" t="str">
        <x:v>none</x:v>
      </x:c>
      <x:c r="Q214" s="23" t="str">
        <x:v>bullish</x:v>
      </x:c>
      <x:c r="R214" s="23" t="str">
        <x:v>—</x:v>
      </x:c>
      <x:c r="S214" s="23" t="str">
        <x:v>bullish</x:v>
      </x:c>
      <x:c r="T214" s="23" t="str">
        <x:v>bullish</x:v>
      </x:c>
      <x:c r="U214" s="23" t="str">
        <x:v>bullish</x:v>
      </x:c>
    </x:row>
    <x:row r="215">
      <x:c r="A215" s="23" t="n">
        <x:v>1572</x:v>
      </x:c>
      <x:c r="B215" s="23" t="str">
        <x:v>NVDA</x:v>
      </x:c>
      <x:c r="C215" s="53" t="n">
        <x:v>46225.418020833335</x:v>
      </x:c>
      <x:c r="D215" s="23" t="str">
        <x:v>StockSavvyShay</x:v>
      </x:c>
      <x:c r="E215" s="23" t="str">
        <x:v>neutral</x:v>
      </x:c>
      <x:c r="F215" s="34" t="n">
        <x:v>0</x:v>
      </x:c>
      <x:c r="G215" s="23" t="str">
        <x:v>needs_review</x:v>
      </x:c>
      <x:c r="H215" s="23" t="str">
        <x:v>근거만</x:v>
      </x:c>
      <x:c r="I215" s="23" t="str">
        <x:v>positive</x:v>
      </x:c>
      <x:c r="J215" s="23" t="n">
        <x:v>4</x:v>
      </x:c>
      <x:c r="K215" s="23" t="n">
        <x:v>0</x:v>
      </x:c>
      <x:c r="L215" s="23" t="n">
        <x:v>4</x:v>
      </x:c>
      <x:c r="M215" s="68" t="n">
        <x:v>1</x:v>
      </x:c>
      <x:c r="N215" s="68" t="n">
        <x:v>0</x:v>
      </x:c>
      <x:c r="O215" s="23" t="str">
        <x:v>positive</x:v>
      </x:c>
      <x:c r="P215" s="23" t="str">
        <x:v>none</x:v>
      </x:c>
      <x:c r="Q215" s="23" t="str">
        <x:v>bullish</x:v>
      </x:c>
      <x:c r="R215" s="23" t="str">
        <x:v>—</x:v>
      </x:c>
      <x:c r="S215" s="23" t="str">
        <x:v>bullish</x:v>
      </x:c>
      <x:c r="T215" s="23" t="str">
        <x:v>bullish</x:v>
      </x:c>
      <x:c r="U215" s="23" t="str">
        <x:v>bullish</x:v>
      </x:c>
    </x:row>
    <x:row r="216">
      <x:c r="A216" s="23" t="n">
        <x:v>1577</x:v>
      </x:c>
      <x:c r="B216" s="23" t="str">
        <x:v>NVDA</x:v>
      </x:c>
      <x:c r="C216" s="53" t="n">
        <x:v>46225.449641203704</x:v>
      </x:c>
      <x:c r="D216" s="23" t="str">
        <x:v>StockMKTNewz</x:v>
      </x:c>
      <x:c r="E216" s="23" t="str">
        <x:v>neutral</x:v>
      </x:c>
      <x:c r="F216" s="34" t="n">
        <x:v>0</x:v>
      </x:c>
      <x:c r="G216" s="23" t="str">
        <x:v>needs_review</x:v>
      </x:c>
      <x:c r="H216" s="23" t="str">
        <x:v>근거만</x:v>
      </x:c>
      <x:c r="I216" s="23" t="str">
        <x:v>positive</x:v>
      </x:c>
      <x:c r="J216" s="23" t="n">
        <x:v>4</x:v>
      </x:c>
      <x:c r="K216" s="23" t="n">
        <x:v>0</x:v>
      </x:c>
      <x:c r="L216" s="23" t="n">
        <x:v>4</x:v>
      </x:c>
      <x:c r="M216" s="68" t="n">
        <x:v>1</x:v>
      </x:c>
      <x:c r="N216" s="68" t="n">
        <x:v>0</x:v>
      </x:c>
      <x:c r="O216" s="23" t="str">
        <x:v>positive</x:v>
      </x:c>
      <x:c r="P216" s="23" t="str">
        <x:v>none</x:v>
      </x:c>
      <x:c r="Q216" s="23" t="str">
        <x:v>bullish</x:v>
      </x:c>
      <x:c r="R216" s="23" t="str">
        <x:v>—</x:v>
      </x:c>
      <x:c r="S216" s="23" t="str">
        <x:v>bullish</x:v>
      </x:c>
      <x:c r="T216" s="23" t="str">
        <x:v>bullish</x:v>
      </x:c>
      <x:c r="U216" s="23" t="str">
        <x:v>bullish</x:v>
      </x:c>
    </x:row>
    <x:row r="217">
      <x:c r="A217" s="23" t="n">
        <x:v>1581</x:v>
      </x:c>
      <x:c r="B217" s="23" t="str">
        <x:v>NVDA</x:v>
      </x:c>
      <x:c r="C217" s="53" t="n">
        <x:v>46225.48417824074</x:v>
      </x:c>
      <x:c r="D217" s="23" t="str">
        <x:v>StockSavvyShay</x:v>
      </x:c>
      <x:c r="E217" s="23" t="str">
        <x:v>bullish</x:v>
      </x:c>
      <x:c r="F217" s="34" t="n">
        <x:v>0.9</x:v>
      </x:c>
      <x:c r="G217" s="23" t="str">
        <x:v>needs_review</x:v>
      </x:c>
      <x:c r="H217" s="23" t="str">
        <x:v>근거만</x:v>
      </x:c>
      <x:c r="I217" s="23" t="str">
        <x:v>positive</x:v>
      </x:c>
      <x:c r="J217" s="23" t="n">
        <x:v>4</x:v>
      </x:c>
      <x:c r="K217" s="23" t="n">
        <x:v>0</x:v>
      </x:c>
      <x:c r="L217" s="23" t="n">
        <x:v>4</x:v>
      </x:c>
      <x:c r="M217" s="68" t="n">
        <x:v>1</x:v>
      </x:c>
      <x:c r="N217" s="68" t="n">
        <x:v>0</x:v>
      </x:c>
      <x:c r="O217" s="23" t="str">
        <x:v>positive</x:v>
      </x:c>
      <x:c r="P217" s="23" t="str">
        <x:v>none</x:v>
      </x:c>
      <x:c r="Q217" s="23" t="str">
        <x:v>bullish</x:v>
      </x:c>
      <x:c r="R217" s="23" t="str">
        <x:v>—</x:v>
      </x:c>
      <x:c r="S217" s="23" t="str">
        <x:v>bullish</x:v>
      </x:c>
      <x:c r="T217" s="23" t="str">
        <x:v>bullish</x:v>
      </x:c>
      <x:c r="U217" s="23" t="str">
        <x:v>bullish</x:v>
      </x:c>
    </x:row>
    <x:row r="218">
      <x:c r="A218" s="23" t="n">
        <x:v>1620</x:v>
      </x:c>
      <x:c r="B218" s="23" t="str">
        <x:v>NVDA</x:v>
      </x:c>
      <x:c r="C218" s="53" t="n">
        <x:v>46225.771527777775</x:v>
      </x:c>
      <x:c r="D218" s="23" t="str">
        <x:v>Beth_Kindig</x:v>
      </x:c>
      <x:c r="E218" s="23" t="str">
        <x:v>neutral</x:v>
      </x:c>
      <x:c r="F218" s="34" t="n">
        <x:v>0</x:v>
      </x:c>
      <x:c r="G218" s="23" t="str">
        <x:v>needs_review</x:v>
      </x:c>
      <x:c r="H218" s="23" t="str">
        <x:v>근거만</x:v>
      </x:c>
      <x:c r="I218" s="23" t="str">
        <x:v>positive</x:v>
      </x:c>
      <x:c r="J218" s="23" t="n">
        <x:v>4</x:v>
      </x:c>
      <x:c r="K218" s="23" t="n">
        <x:v>0</x:v>
      </x:c>
      <x:c r="L218" s="23" t="n">
        <x:v>4</x:v>
      </x:c>
      <x:c r="M218" s="68" t="n">
        <x:v>1</x:v>
      </x:c>
      <x:c r="N218" s="68" t="n">
        <x:v>0</x:v>
      </x:c>
      <x:c r="O218" s="23" t="str">
        <x:v>positive</x:v>
      </x:c>
      <x:c r="P218" s="23" t="str">
        <x:v>none</x:v>
      </x:c>
      <x:c r="Q218" s="23" t="str">
        <x:v>bullish</x:v>
      </x:c>
      <x:c r="R218" s="23" t="str">
        <x:v>—</x:v>
      </x:c>
      <x:c r="S218" s="23" t="str">
        <x:v>bullish</x:v>
      </x:c>
      <x:c r="T218" s="23" t="str">
        <x:v>bullish</x:v>
      </x:c>
      <x:c r="U218" s="23" t="str">
        <x:v>bullish</x:v>
      </x:c>
    </x:row>
    <x:row r="219">
      <x:c r="A219" s="23" t="n">
        <x:v>1623</x:v>
      </x:c>
      <x:c r="B219" s="23" t="str">
        <x:v>NVDA</x:v>
      </x:c>
      <x:c r="C219" s="53" t="n">
        <x:v>46225.79513888889</x:v>
      </x:c>
      <x:c r="D219" s="23" t="str">
        <x:v>Beth_Kindig</x:v>
      </x:c>
      <x:c r="E219" s="23" t="str">
        <x:v>bullish</x:v>
      </x:c>
      <x:c r="F219" s="34" t="n">
        <x:v>0.7</x:v>
      </x:c>
      <x:c r="G219" s="23" t="str">
        <x:v>needs_review</x:v>
      </x:c>
      <x:c r="H219" s="23" t="str">
        <x:v>근거만</x:v>
      </x:c>
      <x:c r="I219" s="23" t="str">
        <x:v>positive</x:v>
      </x:c>
      <x:c r="J219" s="23" t="n">
        <x:v>4</x:v>
      </x:c>
      <x:c r="K219" s="23" t="n">
        <x:v>0</x:v>
      </x:c>
      <x:c r="L219" s="23" t="n">
        <x:v>4</x:v>
      </x:c>
      <x:c r="M219" s="68" t="n">
        <x:v>1</x:v>
      </x:c>
      <x:c r="N219" s="68" t="n">
        <x:v>0</x:v>
      </x:c>
      <x:c r="O219" s="23" t="str">
        <x:v>positive</x:v>
      </x:c>
      <x:c r="P219" s="23" t="str">
        <x:v>none</x:v>
      </x:c>
      <x:c r="Q219" s="23" t="str">
        <x:v>bullish</x:v>
      </x:c>
      <x:c r="R219" s="23" t="str">
        <x:v>—</x:v>
      </x:c>
      <x:c r="S219" s="23" t="str">
        <x:v>bullish</x:v>
      </x:c>
      <x:c r="T219" s="23" t="str">
        <x:v>bullish</x:v>
      </x:c>
      <x:c r="U219" s="23" t="str">
        <x:v>bullish</x:v>
      </x:c>
    </x:row>
    <x:row r="220">
      <x:c r="A220" s="23" t="n">
        <x:v>1714</x:v>
      </x:c>
      <x:c r="B220" s="23" t="str">
        <x:v>NVDA</x:v>
      </x:c>
      <x:c r="C220" s="53" t="n">
        <x:v>46226.37278935185</x:v>
      </x:c>
      <x:c r="D220" s="23" t="str">
        <x:v>StockSavvyShay</x:v>
      </x:c>
      <x:c r="E220" s="23" t="str">
        <x:v>neutral</x:v>
      </x:c>
      <x:c r="F220" s="34" t="n">
        <x:v>0.5</x:v>
      </x:c>
      <x:c r="G220" s="23" t="str">
        <x:v>needs_review</x:v>
      </x:c>
      <x:c r="H220" s="23" t="str">
        <x:v>근거만</x:v>
      </x:c>
      <x:c r="I220" s="23" t="str">
        <x:v>positive</x:v>
      </x:c>
      <x:c r="J220" s="23" t="n">
        <x:v>4</x:v>
      </x:c>
      <x:c r="K220" s="23" t="n">
        <x:v>0</x:v>
      </x:c>
      <x:c r="L220" s="23" t="n">
        <x:v>4</x:v>
      </x:c>
      <x:c r="M220" s="68" t="n">
        <x:v>1</x:v>
      </x:c>
      <x:c r="N220" s="68" t="n">
        <x:v>0</x:v>
      </x:c>
      <x:c r="O220" s="23" t="str">
        <x:v>positive</x:v>
      </x:c>
      <x:c r="P220" s="23" t="str">
        <x:v>none</x:v>
      </x:c>
      <x:c r="Q220" s="23" t="str">
        <x:v>bullish</x:v>
      </x:c>
      <x:c r="R220" s="23" t="str">
        <x:v>—</x:v>
      </x:c>
      <x:c r="S220" s="23" t="str">
        <x:v>bullish</x:v>
      </x:c>
      <x:c r="T220" s="23" t="str">
        <x:v>bullish</x:v>
      </x:c>
      <x:c r="U220" s="23" t="str">
        <x:v>bullish</x:v>
      </x:c>
    </x:row>
    <x:row r="221">
      <x:c r="A221" s="23" t="n">
        <x:v>1764</x:v>
      </x:c>
      <x:c r="B221" s="23" t="str">
        <x:v>NVDA</x:v>
      </x:c>
      <x:c r="C221" s="53" t="n">
        <x:v>46226.71135416667</x:v>
      </x:c>
      <x:c r="D221" s="23" t="str">
        <x:v>Beth_Kindig</x:v>
      </x:c>
      <x:c r="E221" s="23" t="str">
        <x:v>bullish</x:v>
      </x:c>
      <x:c r="F221" s="34" t="n">
        <x:v>0.8</x:v>
      </x:c>
      <x:c r="G221" s="23" t="str">
        <x:v>auto</x:v>
      </x:c>
      <x:c r="H221" s="23" t="str">
        <x:v>vote 변경</x:v>
      </x:c>
      <x:c r="I221" s="23" t="str">
        <x:v>positive</x:v>
      </x:c>
      <x:c r="J221" s="23" t="n">
        <x:v>4</x:v>
      </x:c>
      <x:c r="K221" s="23" t="n">
        <x:v>0</x:v>
      </x:c>
      <x:c r="L221" s="23" t="n">
        <x:v>4</x:v>
      </x:c>
      <x:c r="M221" s="68" t="n">
        <x:v>1</x:v>
      </x:c>
      <x:c r="N221" s="68" t="n">
        <x:v>0</x:v>
      </x:c>
      <x:c r="O221" s="23" t="str">
        <x:v>positive</x:v>
      </x:c>
      <x:c r="P221" s="23" t="str">
        <x:v>none</x:v>
      </x:c>
      <x:c r="Q221" s="23" t="str">
        <x:v>bullish</x:v>
      </x:c>
      <x:c r="R221" s="23" t="str">
        <x:v>—</x:v>
      </x:c>
      <x:c r="S221" s="23" t="str">
        <x:v>bullish</x:v>
      </x:c>
      <x:c r="T221" s="23" t="str">
        <x:v>bullish</x:v>
      </x:c>
      <x:c r="U221" s="23" t="str">
        <x:v>bullish</x:v>
      </x:c>
    </x:row>
    <x:row r="222">
      <x:c r="A222" s="23" t="n">
        <x:v>1797</x:v>
      </x:c>
      <x:c r="B222" s="23" t="str">
        <x:v>NVDA</x:v>
      </x:c>
      <x:c r="C222" s="53" t="n">
        <x:v>46226.87668981482</x:v>
      </x:c>
      <x:c r="D222" s="23" t="str">
        <x:v>StockMKTNewz</x:v>
      </x:c>
      <x:c r="E222" s="23" t="str">
        <x:v>bullish</x:v>
      </x:c>
      <x:c r="F222" s="34" t="n">
        <x:v>0.8</x:v>
      </x:c>
      <x:c r="G222" s="23" t="str">
        <x:v>needs_review</x:v>
      </x:c>
      <x:c r="H222" s="23" t="str">
        <x:v>근거만</x:v>
      </x:c>
      <x:c r="I222" s="23" t="str">
        <x:v>positive</x:v>
      </x:c>
      <x:c r="J222" s="23" t="n">
        <x:v>4</x:v>
      </x:c>
      <x:c r="K222" s="23" t="n">
        <x:v>0</x:v>
      </x:c>
      <x:c r="L222" s="23" t="n">
        <x:v>4</x:v>
      </x:c>
      <x:c r="M222" s="68" t="n">
        <x:v>1</x:v>
      </x:c>
      <x:c r="N222" s="68" t="n">
        <x:v>0</x:v>
      </x:c>
      <x:c r="O222" s="23" t="str">
        <x:v>positive</x:v>
      </x:c>
      <x:c r="P222" s="23" t="str">
        <x:v>none</x:v>
      </x:c>
      <x:c r="Q222" s="23" t="str">
        <x:v>bullish</x:v>
      </x:c>
      <x:c r="R222" s="23" t="str">
        <x:v>—</x:v>
      </x:c>
      <x:c r="S222" s="23" t="str">
        <x:v>bullish</x:v>
      </x:c>
      <x:c r="T222" s="23" t="str">
        <x:v>bullish</x:v>
      </x:c>
      <x:c r="U222" s="23" t="str">
        <x:v>bullish</x:v>
      </x:c>
    </x:row>
    <x:row r="223">
      <x:c r="A223" s="23" t="n">
        <x:v>1794</x:v>
      </x:c>
      <x:c r="B223" s="23" t="str">
        <x:v>NVDA</x:v>
      </x:c>
      <x:c r="C223" s="53" t="n">
        <x:v>46226.87805555556</x:v>
      </x:c>
      <x:c r="D223" s="23" t="str">
        <x:v>StockSavvyShay</x:v>
      </x:c>
      <x:c r="E223" s="23" t="str">
        <x:v>bullish</x:v>
      </x:c>
      <x:c r="F223" s="34" t="n">
        <x:v>0.7</x:v>
      </x:c>
      <x:c r="G223" s="23" t="str">
        <x:v>needs_review</x:v>
      </x:c>
      <x:c r="H223" s="23" t="str">
        <x:v>근거만</x:v>
      </x:c>
      <x:c r="I223" s="23" t="str">
        <x:v>positive</x:v>
      </x:c>
      <x:c r="J223" s="23" t="n">
        <x:v>4</x:v>
      </x:c>
      <x:c r="K223" s="23" t="n">
        <x:v>0</x:v>
      </x:c>
      <x:c r="L223" s="23" t="n">
        <x:v>4</x:v>
      </x:c>
      <x:c r="M223" s="68" t="n">
        <x:v>1</x:v>
      </x:c>
      <x:c r="N223" s="68" t="n">
        <x:v>0</x:v>
      </x:c>
      <x:c r="O223" s="23" t="str">
        <x:v>positive</x:v>
      </x:c>
      <x:c r="P223" s="23" t="str">
        <x:v>none</x:v>
      </x:c>
      <x:c r="Q223" s="23" t="str">
        <x:v>bullish</x:v>
      </x:c>
      <x:c r="R223" s="23" t="str">
        <x:v>—</x:v>
      </x:c>
      <x:c r="S223" s="23" t="str">
        <x:v>bullish</x:v>
      </x:c>
      <x:c r="T223" s="23" t="str">
        <x:v>bullish</x:v>
      </x:c>
      <x:c r="U223" s="23" t="str">
        <x:v>bullish</x:v>
      </x:c>
    </x:row>
    <x:row r="224">
      <x:c r="A224" s="23" t="n">
        <x:v>1852</x:v>
      </x:c>
      <x:c r="B224" s="23" t="str">
        <x:v>NVDA</x:v>
      </x:c>
      <x:c r="C224" s="53" t="n">
        <x:v>46227.55972222222</x:v>
      </x:c>
      <x:c r="D224" s="23" t="str">
        <x:v>StockMKTNewz</x:v>
      </x:c>
      <x:c r="E224" s="23" t="str">
        <x:v>neutral</x:v>
      </x:c>
      <x:c r="F224" s="34" t="n">
        <x:v>0</x:v>
      </x:c>
      <x:c r="G224" s="23" t="str">
        <x:v>needs_review</x:v>
      </x:c>
      <x:c r="H224" s="23" t="str">
        <x:v>근거만</x:v>
      </x:c>
      <x:c r="I224" s="23" t="str">
        <x:v>positive</x:v>
      </x:c>
      <x:c r="J224" s="23" t="n">
        <x:v>4</x:v>
      </x:c>
      <x:c r="K224" s="23" t="n">
        <x:v>0</x:v>
      </x:c>
      <x:c r="L224" s="23" t="n">
        <x:v>4</x:v>
      </x:c>
      <x:c r="M224" s="68" t="n">
        <x:v>1</x:v>
      </x:c>
      <x:c r="N224" s="68" t="n">
        <x:v>0</x:v>
      </x:c>
      <x:c r="O224" s="23" t="str">
        <x:v>positive</x:v>
      </x:c>
      <x:c r="P224" s="23" t="str">
        <x:v>none</x:v>
      </x:c>
      <x:c r="Q224" s="23" t="str">
        <x:v>bullish</x:v>
      </x:c>
      <x:c r="R224" s="23" t="str">
        <x:v>—</x:v>
      </x:c>
      <x:c r="S224" s="23" t="str">
        <x:v>bullish</x:v>
      </x:c>
      <x:c r="T224" s="23" t="str">
        <x:v>bullish</x:v>
      </x:c>
      <x:c r="U224" s="23" t="str">
        <x:v>bullish</x:v>
      </x:c>
    </x:row>
    <x:row r="225">
      <x:c r="A225" s="23" t="n">
        <x:v>1855</x:v>
      </x:c>
      <x:c r="B225" s="23" t="str">
        <x:v>NVDA</x:v>
      </x:c>
      <x:c r="C225" s="53" t="n">
        <x:v>46227.562372685185</x:v>
      </x:c>
      <x:c r="D225" s="23" t="str">
        <x:v>StockSavvyShay</x:v>
      </x:c>
      <x:c r="E225" s="23" t="str">
        <x:v>bullish</x:v>
      </x:c>
      <x:c r="F225" s="34" t="n">
        <x:v>0.8</x:v>
      </x:c>
      <x:c r="G225" s="23" t="str">
        <x:v>auto</x:v>
      </x:c>
      <x:c r="H225" s="23" t="str">
        <x:v>vote 변경</x:v>
      </x:c>
      <x:c r="I225" s="23" t="str">
        <x:v>positive</x:v>
      </x:c>
      <x:c r="J225" s="23" t="n">
        <x:v>4</x:v>
      </x:c>
      <x:c r="K225" s="23" t="n">
        <x:v>0</x:v>
      </x:c>
      <x:c r="L225" s="23" t="n">
        <x:v>4</x:v>
      </x:c>
      <x:c r="M225" s="68" t="n">
        <x:v>1</x:v>
      </x:c>
      <x:c r="N225" s="68" t="n">
        <x:v>0</x:v>
      </x:c>
      <x:c r="O225" s="23" t="str">
        <x:v>positive</x:v>
      </x:c>
      <x:c r="P225" s="23" t="str">
        <x:v>none</x:v>
      </x:c>
      <x:c r="Q225" s="23" t="str">
        <x:v>bullish</x:v>
      </x:c>
      <x:c r="R225" s="23" t="str">
        <x:v>—</x:v>
      </x:c>
      <x:c r="S225" s="23" t="str">
        <x:v>bullish</x:v>
      </x:c>
      <x:c r="T225" s="23" t="str">
        <x:v>bullish</x:v>
      </x:c>
      <x:c r="U225" s="23" t="str">
        <x:v>bullish</x:v>
      </x:c>
    </x:row>
    <x:row r="226">
      <x:c r="A226" s="23" t="n">
        <x:v>1857</x:v>
      </x:c>
      <x:c r="B226" s="23" t="str">
        <x:v>NVDA</x:v>
      </x:c>
      <x:c r="C226" s="53" t="n">
        <x:v>46227.56851851852</x:v>
      </x:c>
      <x:c r="D226" s="23" t="str">
        <x:v>StockSavvyShay</x:v>
      </x:c>
      <x:c r="E226" s="23" t="str">
        <x:v>bullish</x:v>
      </x:c>
      <x:c r="F226" s="34" t="n">
        <x:v>0.8</x:v>
      </x:c>
      <x:c r="G226" s="23" t="str">
        <x:v>auto</x:v>
      </x:c>
      <x:c r="H226" s="23" t="str">
        <x:v>vote 변경</x:v>
      </x:c>
      <x:c r="I226" s="23" t="str">
        <x:v>positive</x:v>
      </x:c>
      <x:c r="J226" s="23" t="n">
        <x:v>4</x:v>
      </x:c>
      <x:c r="K226" s="23" t="n">
        <x:v>0</x:v>
      </x:c>
      <x:c r="L226" s="23" t="n">
        <x:v>4</x:v>
      </x:c>
      <x:c r="M226" s="68" t="n">
        <x:v>1</x:v>
      </x:c>
      <x:c r="N226" s="68" t="n">
        <x:v>0</x:v>
      </x:c>
      <x:c r="O226" s="23" t="str">
        <x:v>positive</x:v>
      </x:c>
      <x:c r="P226" s="23" t="str">
        <x:v>none</x:v>
      </x:c>
      <x:c r="Q226" s="23" t="str">
        <x:v>bullish</x:v>
      </x:c>
      <x:c r="R226" s="23" t="str">
        <x:v>—</x:v>
      </x:c>
      <x:c r="S226" s="23" t="str">
        <x:v>bullish</x:v>
      </x:c>
      <x:c r="T226" s="23" t="str">
        <x:v>bullish</x:v>
      </x:c>
      <x:c r="U226" s="23" t="str">
        <x:v>bullish</x:v>
      </x:c>
    </x:row>
    <x:row r="227">
      <x:c r="A227" s="23" t="n">
        <x:v>1872</x:v>
      </x:c>
      <x:c r="B227" s="23" t="str">
        <x:v>NVDA</x:v>
      </x:c>
      <x:c r="C227" s="53" t="n">
        <x:v>46227.66197916667</x:v>
      </x:c>
      <x:c r="D227" s="23" t="str">
        <x:v>StockSavvyShay</x:v>
      </x:c>
      <x:c r="E227" s="23" t="str">
        <x:v>bullish</x:v>
      </x:c>
      <x:c r="F227" s="34" t="n">
        <x:v>0.9</x:v>
      </x:c>
      <x:c r="G227" s="23" t="str">
        <x:v>auto</x:v>
      </x:c>
      <x:c r="H227" s="23" t="str">
        <x:v>vote 변경</x:v>
      </x:c>
      <x:c r="I227" s="23" t="str">
        <x:v>positive</x:v>
      </x:c>
      <x:c r="J227" s="23" t="n">
        <x:v>4</x:v>
      </x:c>
      <x:c r="K227" s="23" t="n">
        <x:v>0</x:v>
      </x:c>
      <x:c r="L227" s="23" t="n">
        <x:v>4</x:v>
      </x:c>
      <x:c r="M227" s="68" t="n">
        <x:v>1</x:v>
      </x:c>
      <x:c r="N227" s="68" t="n">
        <x:v>0</x:v>
      </x:c>
      <x:c r="O227" s="23" t="str">
        <x:v>positive</x:v>
      </x:c>
      <x:c r="P227" s="23" t="str">
        <x:v>none</x:v>
      </x:c>
      <x:c r="Q227" s="23" t="str">
        <x:v>bullish</x:v>
      </x:c>
      <x:c r="R227" s="23" t="str">
        <x:v>—</x:v>
      </x:c>
      <x:c r="S227" s="23" t="str">
        <x:v>bullish</x:v>
      </x:c>
      <x:c r="T227" s="23" t="str">
        <x:v>bullish</x:v>
      </x:c>
      <x:c r="U227" s="23" t="str">
        <x:v>bullish</x:v>
      </x:c>
    </x:row>
    <x:row r="228">
      <x:c r="A228" s="23" t="n">
        <x:v>1920</x:v>
      </x:c>
      <x:c r="B228" s="23" t="str">
        <x:v>NVDA</x:v>
      </x:c>
      <x:c r="C228" s="53" t="n">
        <x:v>46227.88025462963</x:v>
      </x:c>
      <x:c r="D228" s="23" t="str">
        <x:v>StockSavvyShay</x:v>
      </x:c>
      <x:c r="E228" s="23" t="str">
        <x:v>bearish</x:v>
      </x:c>
      <x:c r="F228" s="34" t="n">
        <x:v>1</x:v>
      </x:c>
      <x:c r="G228" s="23" t="str">
        <x:v>auto</x:v>
      </x:c>
      <x:c r="H228" s="23" t="str">
        <x:v>vote 변경</x:v>
      </x:c>
      <x:c r="I228" s="23" t="str">
        <x:v>positive</x:v>
      </x:c>
      <x:c r="J228" s="23" t="n">
        <x:v>3</x:v>
      </x:c>
      <x:c r="K228" s="23" t="n">
        <x:v>1</x:v>
      </x:c>
      <x:c r="L228" s="23" t="n">
        <x:v>4</x:v>
      </x:c>
      <x:c r="M228" s="68" t="n">
        <x:v>0.75</x:v>
      </x:c>
      <x:c r="N228" s="68" t="n">
        <x:v>0.25</x:v>
      </x:c>
      <x:c r="O228" s="23" t="str">
        <x:v>positive</x:v>
      </x:c>
      <x:c r="P228" s="23" t="str">
        <x:v>none</x:v>
      </x:c>
      <x:c r="Q228" s="23" t="str">
        <x:v>bullish</x:v>
      </x:c>
      <x:c r="R228" s="23" t="str">
        <x:v>—</x:v>
      </x:c>
      <x:c r="S228" s="23" t="str">
        <x:v>bullish</x:v>
      </x:c>
      <x:c r="T228" s="23" t="str">
        <x:v>bearish</x:v>
      </x:c>
      <x:c r="U228" s="23" t="str">
        <x:v>bullish</x:v>
      </x:c>
    </x:row>
    <x:row r="229">
      <x:c r="A229" s="23" t="n">
        <x:v>1924</x:v>
      </x:c>
      <x:c r="B229" s="23" t="str">
        <x:v>NVDA</x:v>
      </x:c>
      <x:c r="C229" s="53" t="n">
        <x:v>46227.999560185184</x:v>
      </x:c>
      <x:c r="D229" s="23" t="str">
        <x:v>StockSavvyShay</x:v>
      </x:c>
      <x:c r="E229" s="23" t="str">
        <x:v>neutral</x:v>
      </x:c>
      <x:c r="F229" s="34" t="n">
        <x:v>0</x:v>
      </x:c>
      <x:c r="G229" s="23" t="str">
        <x:v>needs_review</x:v>
      </x:c>
      <x:c r="H229" s="23" t="str">
        <x:v>근거만</x:v>
      </x:c>
      <x:c r="I229" s="23" t="str">
        <x:v>positive</x:v>
      </x:c>
      <x:c r="J229" s="23" t="n">
        <x:v>3</x:v>
      </x:c>
      <x:c r="K229" s="23" t="n">
        <x:v>1</x:v>
      </x:c>
      <x:c r="L229" s="23" t="n">
        <x:v>4</x:v>
      </x:c>
      <x:c r="M229" s="68" t="n">
        <x:v>0.75</x:v>
      </x:c>
      <x:c r="N229" s="68" t="n">
        <x:v>0.25</x:v>
      </x:c>
      <x:c r="O229" s="23" t="str">
        <x:v>positive</x:v>
      </x:c>
      <x:c r="P229" s="23" t="str">
        <x:v>none</x:v>
      </x:c>
      <x:c r="Q229" s="23" t="str">
        <x:v>bullish</x:v>
      </x:c>
      <x:c r="R229" s="23" t="str">
        <x:v>—</x:v>
      </x:c>
      <x:c r="S229" s="23" t="str">
        <x:v>bullish</x:v>
      </x:c>
      <x:c r="T229" s="23" t="str">
        <x:v>bearish</x:v>
      </x:c>
      <x:c r="U229" s="23" t="str">
        <x:v>bullish</x:v>
      </x:c>
    </x:row>
    <x:row r="230">
      <x:c r="A230" s="23" t="n">
        <x:v>1927</x:v>
      </x:c>
      <x:c r="B230" s="23" t="str">
        <x:v>NVDA</x:v>
      </x:c>
      <x:c r="C230" s="53" t="n">
        <x:v>46228.00701388889</x:v>
      </x:c>
      <x:c r="D230" s="23" t="str">
        <x:v>StockSavvyShay</x:v>
      </x:c>
      <x:c r="E230" s="23" t="str">
        <x:v>bearish</x:v>
      </x:c>
      <x:c r="F230" s="34" t="n">
        <x:v>0.8</x:v>
      </x:c>
      <x:c r="G230" s="23" t="str">
        <x:v>auto</x:v>
      </x:c>
      <x:c r="H230" s="23" t="str">
        <x:v>vote 변경</x:v>
      </x:c>
      <x:c r="I230" s="23" t="str">
        <x:v>positive</x:v>
      </x:c>
      <x:c r="J230" s="23" t="n">
        <x:v>3</x:v>
      </x:c>
      <x:c r="K230" s="23" t="n">
        <x:v>1</x:v>
      </x:c>
      <x:c r="L230" s="23" t="n">
        <x:v>4</x:v>
      </x:c>
      <x:c r="M230" s="68" t="n">
        <x:v>0.75</x:v>
      </x:c>
      <x:c r="N230" s="68" t="n">
        <x:v>0.25</x:v>
      </x:c>
      <x:c r="O230" s="23" t="str">
        <x:v>positive</x:v>
      </x:c>
      <x:c r="P230" s="23" t="str">
        <x:v>none</x:v>
      </x:c>
      <x:c r="Q230" s="23" t="str">
        <x:v>bullish</x:v>
      </x:c>
      <x:c r="R230" s="23" t="str">
        <x:v>—</x:v>
      </x:c>
      <x:c r="S230" s="23" t="str">
        <x:v>bullish</x:v>
      </x:c>
      <x:c r="T230" s="23" t="str">
        <x:v>bearish</x:v>
      </x:c>
      <x:c r="U230" s="23" t="str">
        <x:v>bullish</x:v>
      </x:c>
    </x:row>
    <x:row r="231">
      <x:c r="A231" s="23" t="n">
        <x:v>1974</x:v>
      </x:c>
      <x:c r="B231" s="23" t="str">
        <x:v>NVDA</x:v>
      </x:c>
      <x:c r="C231" s="53" t="n">
        <x:v>46228.44199074074</x:v>
      </x:c>
      <x:c r="D231" s="23" t="str">
        <x:v>StockMKTNewz</x:v>
      </x:c>
      <x:c r="E231" s="23" t="str">
        <x:v>bullish</x:v>
      </x:c>
      <x:c r="F231" s="34" t="n">
        <x:v>0.9</x:v>
      </x:c>
      <x:c r="G231" s="23" t="str">
        <x:v>auto</x:v>
      </x:c>
      <x:c r="H231" s="23" t="str">
        <x:v>vote 변경</x:v>
      </x:c>
      <x:c r="I231" s="23" t="str">
        <x:v>positive</x:v>
      </x:c>
      <x:c r="J231" s="23" t="n">
        <x:v>3</x:v>
      </x:c>
      <x:c r="K231" s="23" t="n">
        <x:v>1</x:v>
      </x:c>
      <x:c r="L231" s="23" t="n">
        <x:v>4</x:v>
      </x:c>
      <x:c r="M231" s="68" t="n">
        <x:v>0.75</x:v>
      </x:c>
      <x:c r="N231" s="68" t="n">
        <x:v>0.25</x:v>
      </x:c>
      <x:c r="O231" s="23" t="str">
        <x:v>positive</x:v>
      </x:c>
      <x:c r="P231" s="23" t="str">
        <x:v>none</x:v>
      </x:c>
      <x:c r="Q231" s="23" t="str">
        <x:v>bullish</x:v>
      </x:c>
      <x:c r="R231" s="23" t="str">
        <x:v>—</x:v>
      </x:c>
      <x:c r="S231" s="23" t="str">
        <x:v>bullish</x:v>
      </x:c>
      <x:c r="T231" s="23" t="str">
        <x:v>bearish</x:v>
      </x:c>
      <x:c r="U231" s="23" t="str">
        <x:v>bullish</x:v>
      </x:c>
    </x:row>
    <x:row r="232">
      <x:c r="A232" s="23" t="n">
        <x:v>1972</x:v>
      </x:c>
      <x:c r="B232" s="23" t="str">
        <x:v>NVDA</x:v>
      </x:c>
      <x:c r="C232" s="53" t="n">
        <x:v>46228.48295138889</x:v>
      </x:c>
      <x:c r="D232" s="23" t="str">
        <x:v>StockMKTNewz</x:v>
      </x:c>
      <x:c r="E232" s="23" t="str">
        <x:v>bearish</x:v>
      </x:c>
      <x:c r="F232" s="34" t="n">
        <x:v>0.9</x:v>
      </x:c>
      <x:c r="G232" s="23" t="str">
        <x:v>auto</x:v>
      </x:c>
      <x:c r="H232" s="23" t="str">
        <x:v>vote 변경</x:v>
      </x:c>
      <x:c r="I232" s="23" t="str">
        <x:v>positive</x:v>
      </x:c>
      <x:c r="J232" s="23" t="n">
        <x:v>2</x:v>
      </x:c>
      <x:c r="K232" s="23" t="n">
        <x:v>2</x:v>
      </x:c>
      <x:c r="L232" s="23" t="n">
        <x:v>4</x:v>
      </x:c>
      <x:c r="M232" s="68" t="n">
        <x:v>0.5</x:v>
      </x:c>
      <x:c r="N232" s="68" t="n">
        <x:v>0.5</x:v>
      </x:c>
      <x:c r="O232" s="23" t="str">
        <x:v>mixed</x:v>
      </x:c>
      <x:c r="P232" s="23" t="str">
        <x:v>exit</x:v>
      </x:c>
      <x:c r="Q232" s="23" t="str">
        <x:v>bullish</x:v>
      </x:c>
      <x:c r="R232" s="23" t="str">
        <x:v>—</x:v>
      </x:c>
      <x:c r="S232" s="23" t="str">
        <x:v>bearish</x:v>
      </x:c>
      <x:c r="T232" s="23" t="str">
        <x:v>bearish</x:v>
      </x:c>
      <x:c r="U232" s="23" t="str">
        <x:v>bullish</x:v>
      </x:c>
    </x:row>
    <x:row r="233">
      <x:c r="A233" s="23" t="n">
        <x:v>1978</x:v>
      </x:c>
      <x:c r="B233" s="23" t="str">
        <x:v>NVDA</x:v>
      </x:c>
      <x:c r="C233" s="53" t="n">
        <x:v>46228.56171296296</x:v>
      </x:c>
      <x:c r="D233" s="23" t="str">
        <x:v>StockMKTNewz</x:v>
      </x:c>
      <x:c r="E233" s="23" t="str">
        <x:v>neutral</x:v>
      </x:c>
      <x:c r="F233" s="34" t="n">
        <x:v>0.8</x:v>
      </x:c>
      <x:c r="G233" s="23" t="str">
        <x:v>auto</x:v>
      </x:c>
      <x:c r="H233" s="23" t="str">
        <x:v>근거만</x:v>
      </x:c>
      <x:c r="I233" s="23" t="str">
        <x:v>mixed</x:v>
      </x:c>
      <x:c r="J233" s="23" t="n">
        <x:v>2</x:v>
      </x:c>
      <x:c r="K233" s="23" t="n">
        <x:v>2</x:v>
      </x:c>
      <x:c r="L233" s="23" t="n">
        <x:v>4</x:v>
      </x:c>
      <x:c r="M233" s="68" t="n">
        <x:v>0.5</x:v>
      </x:c>
      <x:c r="N233" s="68" t="n">
        <x:v>0.5</x:v>
      </x:c>
      <x:c r="O233" s="23" t="str">
        <x:v>mixed</x:v>
      </x:c>
      <x:c r="P233" s="23" t="str">
        <x:v>none</x:v>
      </x:c>
      <x:c r="Q233" s="23" t="str">
        <x:v>bullish</x:v>
      </x:c>
      <x:c r="R233" s="23" t="str">
        <x:v>—</x:v>
      </x:c>
      <x:c r="S233" s="23" t="str">
        <x:v>bearish</x:v>
      </x:c>
      <x:c r="T233" s="23" t="str">
        <x:v>bearish</x:v>
      </x:c>
      <x:c r="U233" s="23" t="str">
        <x:v>bullish</x:v>
      </x:c>
    </x:row>
    <x:row r="234">
      <x:c r="A234" s="23" t="n">
        <x:v>1934</x:v>
      </x:c>
      <x:c r="B234" s="23" t="str">
        <x:v>NVDA</x:v>
      </x:c>
      <x:c r="C234" s="53" t="n">
        <x:v>46228.57201388889</x:v>
      </x:c>
      <x:c r="D234" s="23" t="str">
        <x:v>StockSavvyShay</x:v>
      </x:c>
      <x:c r="E234" s="23" t="str">
        <x:v>bullish</x:v>
      </x:c>
      <x:c r="F234" s="34" t="n">
        <x:v>0.9</x:v>
      </x:c>
      <x:c r="G234" s="23" t="str">
        <x:v>auto</x:v>
      </x:c>
      <x:c r="H234" s="23" t="str">
        <x:v>vote 변경</x:v>
      </x:c>
      <x:c r="I234" s="23" t="str">
        <x:v>mixed</x:v>
      </x:c>
      <x:c r="J234" s="23" t="n">
        <x:v>3</x:v>
      </x:c>
      <x:c r="K234" s="23" t="n">
        <x:v>1</x:v>
      </x:c>
      <x:c r="L234" s="23" t="n">
        <x:v>4</x:v>
      </x:c>
      <x:c r="M234" s="68" t="n">
        <x:v>0.75</x:v>
      </x:c>
      <x:c r="N234" s="68" t="n">
        <x:v>0.25</x:v>
      </x:c>
      <x:c r="O234" s="23" t="str">
        <x:v>positive</x:v>
      </x:c>
      <x:c r="P234" s="23" t="str">
        <x:v>entry</x:v>
      </x:c>
      <x:c r="Q234" s="23" t="str">
        <x:v>bullish</x:v>
      </x:c>
      <x:c r="R234" s="23" t="str">
        <x:v>—</x:v>
      </x:c>
      <x:c r="S234" s="23" t="str">
        <x:v>bearish</x:v>
      </x:c>
      <x:c r="T234" s="23" t="str">
        <x:v>bullish</x:v>
      </x:c>
      <x:c r="U234" s="23" t="str">
        <x:v>bullish</x:v>
      </x:c>
    </x:row>
    <x:row r="235">
      <x:c r="A235" s="23" t="n">
        <x:v>1952</x:v>
      </x:c>
      <x:c r="B235" s="23" t="str">
        <x:v>NVDA</x:v>
      </x:c>
      <x:c r="C235" s="53" t="n">
        <x:v>46228.60265046296</x:v>
      </x:c>
      <x:c r="D235" s="23" t="str">
        <x:v>StockSavvyShay</x:v>
      </x:c>
      <x:c r="E235" s="23" t="str">
        <x:v>bullish</x:v>
      </x:c>
      <x:c r="F235" s="34" t="n">
        <x:v>1</x:v>
      </x:c>
      <x:c r="G235" s="23" t="str">
        <x:v>auto</x:v>
      </x:c>
      <x:c r="H235" s="23" t="str">
        <x:v>vote 변경</x:v>
      </x:c>
      <x:c r="I235" s="23" t="str">
        <x:v>positive</x:v>
      </x:c>
      <x:c r="J235" s="23" t="n">
        <x:v>3</x:v>
      </x:c>
      <x:c r="K235" s="23" t="n">
        <x:v>1</x:v>
      </x:c>
      <x:c r="L235" s="23" t="n">
        <x:v>4</x:v>
      </x:c>
      <x:c r="M235" s="68" t="n">
        <x:v>0.75</x:v>
      </x:c>
      <x:c r="N235" s="68" t="n">
        <x:v>0.25</x:v>
      </x:c>
      <x:c r="O235" s="23" t="str">
        <x:v>positive</x:v>
      </x:c>
      <x:c r="P235" s="23" t="str">
        <x:v>none</x:v>
      </x:c>
      <x:c r="Q235" s="23" t="str">
        <x:v>bullish</x:v>
      </x:c>
      <x:c r="R235" s="23" t="str">
        <x:v>—</x:v>
      </x:c>
      <x:c r="S235" s="23" t="str">
        <x:v>bearish</x:v>
      </x:c>
      <x:c r="T235" s="23" t="str">
        <x:v>bullish</x:v>
      </x:c>
      <x:c r="U235" s="23" t="str">
        <x:v>bullish</x:v>
      </x:c>
    </x:row>
    <x:row r="236">
      <x:c r="A236" s="23" t="n">
        <x:v>2007</x:v>
      </x:c>
      <x:c r="B236" s="23" t="str">
        <x:v>NVDA</x:v>
      </x:c>
      <x:c r="C236" s="53" t="n">
        <x:v>46228.64502314815</x:v>
      </x:c>
      <x:c r="D236" s="23" t="str">
        <x:v>StockSavvyShay</x:v>
      </x:c>
      <x:c r="E236" s="23" t="str">
        <x:v>bullish</x:v>
      </x:c>
      <x:c r="F236" s="34" t="n">
        <x:v>0.8</x:v>
      </x:c>
      <x:c r="G236" s="23" t="str">
        <x:v>auto</x:v>
      </x:c>
      <x:c r="H236" s="23" t="str">
        <x:v>vote 변경</x:v>
      </x:c>
      <x:c r="I236" s="23" t="str">
        <x:v>positive</x:v>
      </x:c>
      <x:c r="J236" s="23" t="n">
        <x:v>3</x:v>
      </x:c>
      <x:c r="K236" s="23" t="n">
        <x:v>1</x:v>
      </x:c>
      <x:c r="L236" s="23" t="n">
        <x:v>4</x:v>
      </x:c>
      <x:c r="M236" s="68" t="n">
        <x:v>0.75</x:v>
      </x:c>
      <x:c r="N236" s="68" t="n">
        <x:v>0.25</x:v>
      </x:c>
      <x:c r="O236" s="23" t="str">
        <x:v>positive</x:v>
      </x:c>
      <x:c r="P236" s="23" t="str">
        <x:v>none</x:v>
      </x:c>
      <x:c r="Q236" s="23" t="str">
        <x:v>bullish</x:v>
      </x:c>
      <x:c r="R236" s="23" t="str">
        <x:v>—</x:v>
      </x:c>
      <x:c r="S236" s="23" t="str">
        <x:v>bearish</x:v>
      </x:c>
      <x:c r="T236" s="23" t="str">
        <x:v>bullish</x:v>
      </x:c>
      <x:c r="U236" s="23" t="str">
        <x:v>bullish</x:v>
      </x:c>
    </x:row>
    <x:row r="237">
      <x:c r="A237" s="23" t="n">
        <x:v>2019</x:v>
      </x:c>
      <x:c r="B237" s="23" t="str">
        <x:v>NVDA</x:v>
      </x:c>
      <x:c r="C237" s="53" t="n">
        <x:v>46228.668958333335</x:v>
      </x:c>
      <x:c r="D237" s="23" t="str">
        <x:v>StockSavvyShay</x:v>
      </x:c>
      <x:c r="E237" s="23" t="str">
        <x:v>bullish</x:v>
      </x:c>
      <x:c r="F237" s="34" t="n">
        <x:v>0.9</x:v>
      </x:c>
      <x:c r="G237" s="23" t="str">
        <x:v>auto</x:v>
      </x:c>
      <x:c r="H237" s="23" t="str">
        <x:v>vote 변경</x:v>
      </x:c>
      <x:c r="I237" s="23" t="str">
        <x:v>positive</x:v>
      </x:c>
      <x:c r="J237" s="23" t="n">
        <x:v>3</x:v>
      </x:c>
      <x:c r="K237" s="23" t="n">
        <x:v>1</x:v>
      </x:c>
      <x:c r="L237" s="23" t="n">
        <x:v>4</x:v>
      </x:c>
      <x:c r="M237" s="68" t="n">
        <x:v>0.75</x:v>
      </x:c>
      <x:c r="N237" s="68" t="n">
        <x:v>0.25</x:v>
      </x:c>
      <x:c r="O237" s="23" t="str">
        <x:v>positive</x:v>
      </x:c>
      <x:c r="P237" s="23" t="str">
        <x:v>none</x:v>
      </x:c>
      <x:c r="Q237" s="23" t="str">
        <x:v>bullish</x:v>
      </x:c>
      <x:c r="R237" s="23" t="str">
        <x:v>—</x:v>
      </x:c>
      <x:c r="S237" s="23" t="str">
        <x:v>bearish</x:v>
      </x:c>
      <x:c r="T237" s="23" t="str">
        <x:v>bullish</x:v>
      </x:c>
      <x:c r="U237" s="23" t="str">
        <x:v>bullish</x:v>
      </x:c>
    </x:row>
    <x:row r="238">
      <x:c r="A238" s="23" t="n">
        <x:v>2029</x:v>
      </x:c>
      <x:c r="B238" s="23" t="str">
        <x:v>NVDA</x:v>
      </x:c>
      <x:c r="C238" s="53" t="n">
        <x:v>46229.15556712963</x:v>
      </x:c>
      <x:c r="D238" s="23" t="str">
        <x:v>StockSavvyShay</x:v>
      </x:c>
      <x:c r="E238" s="23" t="str">
        <x:v>neutral</x:v>
      </x:c>
      <x:c r="F238" s="34" t="n">
        <x:v>0.5</x:v>
      </x:c>
      <x:c r="G238" s="23" t="str">
        <x:v>needs_review</x:v>
      </x:c>
      <x:c r="H238" s="23" t="str">
        <x:v>근거만</x:v>
      </x:c>
      <x:c r="I238" s="23" t="str">
        <x:v>positive</x:v>
      </x:c>
      <x:c r="J238" s="23" t="n">
        <x:v>3</x:v>
      </x:c>
      <x:c r="K238" s="23" t="n">
        <x:v>1</x:v>
      </x:c>
      <x:c r="L238" s="23" t="n">
        <x:v>4</x:v>
      </x:c>
      <x:c r="M238" s="68" t="n">
        <x:v>0.75</x:v>
      </x:c>
      <x:c r="N238" s="68" t="n">
        <x:v>0.25</x:v>
      </x:c>
      <x:c r="O238" s="23" t="str">
        <x:v>positive</x:v>
      </x:c>
      <x:c r="P238" s="23" t="str">
        <x:v>none</x:v>
      </x:c>
      <x:c r="Q238" s="23" t="str">
        <x:v>bullish</x:v>
      </x:c>
      <x:c r="R238" s="23" t="str">
        <x:v>—</x:v>
      </x:c>
      <x:c r="S238" s="23" t="str">
        <x:v>bearish</x:v>
      </x:c>
      <x:c r="T238" s="23" t="str">
        <x:v>bullish</x:v>
      </x:c>
      <x:c r="U238" s="23" t="str">
        <x:v>bullish</x:v>
      </x:c>
    </x:row>
    <x:row r="239">
      <x:c r="A239" s="23" t="n">
        <x:v>2030</x:v>
      </x:c>
      <x:c r="B239" s="23" t="str">
        <x:v>NVDA</x:v>
      </x:c>
      <x:c r="C239" s="53" t="n">
        <x:v>46229.507731481484</x:v>
      </x:c>
      <x:c r="D239" s="23" t="str">
        <x:v>StockSavvyShay</x:v>
      </x:c>
      <x:c r="E239" s="23" t="str">
        <x:v>bullish</x:v>
      </x:c>
      <x:c r="F239" s="34" t="n">
        <x:v>0.9</x:v>
      </x:c>
      <x:c r="G239" s="23" t="str">
        <x:v>auto</x:v>
      </x:c>
      <x:c r="H239" s="23" t="str">
        <x:v>vote 변경</x:v>
      </x:c>
      <x:c r="I239" s="23" t="str">
        <x:v>positive</x:v>
      </x:c>
      <x:c r="J239" s="23" t="n">
        <x:v>3</x:v>
      </x:c>
      <x:c r="K239" s="23" t="n">
        <x:v>1</x:v>
      </x:c>
      <x:c r="L239" s="23" t="n">
        <x:v>4</x:v>
      </x:c>
      <x:c r="M239" s="68" t="n">
        <x:v>0.75</x:v>
      </x:c>
      <x:c r="N239" s="68" t="n">
        <x:v>0.25</x:v>
      </x:c>
      <x:c r="O239" s="23" t="str">
        <x:v>positive</x:v>
      </x:c>
      <x:c r="P239" s="23" t="str">
        <x:v>none</x:v>
      </x:c>
      <x:c r="Q239" s="23" t="str">
        <x:v>bullish</x:v>
      </x:c>
      <x:c r="R239" s="23" t="str">
        <x:v>—</x:v>
      </x:c>
      <x:c r="S239" s="23" t="str">
        <x:v>bearish</x:v>
      </x:c>
      <x:c r="T239" s="23" t="str">
        <x:v>bullish</x:v>
      </x:c>
      <x:c r="U239" s="23" t="str">
        <x:v>bullish</x:v>
      </x:c>
    </x:row>
    <x:row r="240">
      <x:c r="A240" s="23" t="n">
        <x:v>2034</x:v>
      </x:c>
      <x:c r="B240" s="23" t="str">
        <x:v>NVDA</x:v>
      </x:c>
      <x:c r="C240" s="53" t="n">
        <x:v>46229.527280092596</x:v>
      </x:c>
      <x:c r="D240" s="23" t="str">
        <x:v>StockSavvyShay</x:v>
      </x:c>
      <x:c r="E240" s="23" t="str">
        <x:v>bullish</x:v>
      </x:c>
      <x:c r="F240" s="34" t="n">
        <x:v>0.7</x:v>
      </x:c>
      <x:c r="G240" s="23" t="str">
        <x:v>needs_review</x:v>
      </x:c>
      <x:c r="H240" s="23" t="str">
        <x:v>근거만</x:v>
      </x:c>
      <x:c r="I240" s="23" t="str">
        <x:v>positive</x:v>
      </x:c>
      <x:c r="J240" s="23" t="n">
        <x:v>3</x:v>
      </x:c>
      <x:c r="K240" s="23" t="n">
        <x:v>1</x:v>
      </x:c>
      <x:c r="L240" s="23" t="n">
        <x:v>4</x:v>
      </x:c>
      <x:c r="M240" s="68" t="n">
        <x:v>0.75</x:v>
      </x:c>
      <x:c r="N240" s="68" t="n">
        <x:v>0.25</x:v>
      </x:c>
      <x:c r="O240" s="23" t="str">
        <x:v>positive</x:v>
      </x:c>
      <x:c r="P240" s="23" t="str">
        <x:v>none</x:v>
      </x:c>
      <x:c r="Q240" s="23" t="str">
        <x:v>bullish</x:v>
      </x:c>
      <x:c r="R240" s="23" t="str">
        <x:v>—</x:v>
      </x:c>
      <x:c r="S240" s="23" t="str">
        <x:v>bearish</x:v>
      </x:c>
      <x:c r="T240" s="23" t="str">
        <x:v>bullish</x:v>
      </x:c>
      <x:c r="U240" s="23" t="str">
        <x:v>bullish</x:v>
      </x:c>
    </x:row>
    <x:row r="241">
      <x:c r="A241" s="23" t="n">
        <x:v>2042</x:v>
      </x:c>
      <x:c r="B241" s="23" t="str">
        <x:v>NVDA</x:v>
      </x:c>
      <x:c r="C241" s="53" t="n">
        <x:v>46229.584965277776</x:v>
      </x:c>
      <x:c r="D241" s="23" t="str">
        <x:v>StockSavvyShay</x:v>
      </x:c>
      <x:c r="E241" s="23" t="str">
        <x:v>bullish</x:v>
      </x:c>
      <x:c r="F241" s="34" t="n">
        <x:v>0.8</x:v>
      </x:c>
      <x:c r="G241" s="23" t="str">
        <x:v>auto</x:v>
      </x:c>
      <x:c r="H241" s="23" t="str">
        <x:v>vote 변경</x:v>
      </x:c>
      <x:c r="I241" s="23" t="str">
        <x:v>positive</x:v>
      </x:c>
      <x:c r="J241" s="23" t="n">
        <x:v>3</x:v>
      </x:c>
      <x:c r="K241" s="23" t="n">
        <x:v>1</x:v>
      </x:c>
      <x:c r="L241" s="23" t="n">
        <x:v>4</x:v>
      </x:c>
      <x:c r="M241" s="68" t="n">
        <x:v>0.75</x:v>
      </x:c>
      <x:c r="N241" s="68" t="n">
        <x:v>0.25</x:v>
      </x:c>
      <x:c r="O241" s="23" t="str">
        <x:v>positive</x:v>
      </x:c>
      <x:c r="P241" s="23" t="str">
        <x:v>none</x:v>
      </x:c>
      <x:c r="Q241" s="23" t="str">
        <x:v>bullish</x:v>
      </x:c>
      <x:c r="R241" s="23" t="str">
        <x:v>—</x:v>
      </x:c>
      <x:c r="S241" s="23" t="str">
        <x:v>bearish</x:v>
      </x:c>
      <x:c r="T241" s="23" t="str">
        <x:v>bullish</x:v>
      </x:c>
      <x:c r="U241" s="23" t="str">
        <x:v>bullish</x:v>
      </x:c>
    </x:row>
    <x:row r="242">
      <x:c r="A242" s="23" t="n">
        <x:v>2062</x:v>
      </x:c>
      <x:c r="B242" s="23" t="str">
        <x:v>NVDA</x:v>
      </x:c>
      <x:c r="C242" s="53" t="n">
        <x:v>46229.59951388889</x:v>
      </x:c>
      <x:c r="D242" s="23" t="str">
        <x:v>StockSavvyShay</x:v>
      </x:c>
      <x:c r="E242" s="23" t="str">
        <x:v>bullish</x:v>
      </x:c>
      <x:c r="F242" s="34" t="n">
        <x:v>0.9</x:v>
      </x:c>
      <x:c r="G242" s="23" t="str">
        <x:v>auto</x:v>
      </x:c>
      <x:c r="H242" s="23" t="str">
        <x:v>vote 변경</x:v>
      </x:c>
      <x:c r="I242" s="23" t="str">
        <x:v>positive</x:v>
      </x:c>
      <x:c r="J242" s="23" t="n">
        <x:v>3</x:v>
      </x:c>
      <x:c r="K242" s="23" t="n">
        <x:v>1</x:v>
      </x:c>
      <x:c r="L242" s="23" t="n">
        <x:v>4</x:v>
      </x:c>
      <x:c r="M242" s="68" t="n">
        <x:v>0.75</x:v>
      </x:c>
      <x:c r="N242" s="68" t="n">
        <x:v>0.25</x:v>
      </x:c>
      <x:c r="O242" s="23" t="str">
        <x:v>positive</x:v>
      </x:c>
      <x:c r="P242" s="23" t="str">
        <x:v>none</x:v>
      </x:c>
      <x:c r="Q242" s="23" t="str">
        <x:v>bullish</x:v>
      </x:c>
      <x:c r="R242" s="23" t="str">
        <x:v>—</x:v>
      </x:c>
      <x:c r="S242" s="23" t="str">
        <x:v>bearish</x:v>
      </x:c>
      <x:c r="T242" s="23" t="str">
        <x:v>bullish</x:v>
      </x:c>
      <x:c r="U242" s="23" t="str">
        <x:v>bullish</x:v>
      </x:c>
    </x:row>
    <x:row r="243">
      <x:c r="A243" s="23" t="n">
        <x:v>2064</x:v>
      </x:c>
      <x:c r="B243" s="23" t="str">
        <x:v>NVDA</x:v>
      </x:c>
      <x:c r="C243" s="53" t="n">
        <x:v>46229.635567129626</x:v>
      </x:c>
      <x:c r="D243" s="23" t="str">
        <x:v>StockSavvyShay</x:v>
      </x:c>
      <x:c r="E243" s="23" t="str">
        <x:v>neutral</x:v>
      </x:c>
      <x:c r="F243" s="34" t="n">
        <x:v>0.8</x:v>
      </x:c>
      <x:c r="G243" s="23" t="str">
        <x:v>auto</x:v>
      </x:c>
      <x:c r="H243" s="23" t="str">
        <x:v>근거만</x:v>
      </x:c>
      <x:c r="I243" s="23" t="str">
        <x:v>positive</x:v>
      </x:c>
      <x:c r="J243" s="23" t="n">
        <x:v>3</x:v>
      </x:c>
      <x:c r="K243" s="23" t="n">
        <x:v>1</x:v>
      </x:c>
      <x:c r="L243" s="23" t="n">
        <x:v>4</x:v>
      </x:c>
      <x:c r="M243" s="68" t="n">
        <x:v>0.75</x:v>
      </x:c>
      <x:c r="N243" s="68" t="n">
        <x:v>0.25</x:v>
      </x:c>
      <x:c r="O243" s="23" t="str">
        <x:v>positive</x:v>
      </x:c>
      <x:c r="P243" s="23" t="str">
        <x:v>none</x:v>
      </x:c>
      <x:c r="Q243" s="23" t="str">
        <x:v>bullish</x:v>
      </x:c>
      <x:c r="R243" s="23" t="str">
        <x:v>—</x:v>
      </x:c>
      <x:c r="S243" s="23" t="str">
        <x:v>bearish</x:v>
      </x:c>
      <x:c r="T243" s="23" t="str">
        <x:v>bullish</x:v>
      </x:c>
      <x:c r="U243" s="23" t="str">
        <x:v>bullish</x:v>
      </x:c>
    </x:row>
    <x:row r="244">
      <x:c r="A244" s="23" t="n">
        <x:v>2076</x:v>
      </x:c>
      <x:c r="B244" s="23" t="str">
        <x:v>NVDA</x:v>
      </x:c>
      <x:c r="C244" s="53" t="n">
        <x:v>46229.69420138889</x:v>
      </x:c>
      <x:c r="D244" s="23" t="str">
        <x:v>Beth_Kindig</x:v>
      </x:c>
      <x:c r="E244" s="23" t="str">
        <x:v>bullish</x:v>
      </x:c>
      <x:c r="F244" s="34" t="n">
        <x:v>0.8</x:v>
      </x:c>
      <x:c r="G244" s="23" t="str">
        <x:v>auto</x:v>
      </x:c>
      <x:c r="H244" s="23" t="str">
        <x:v>vote 변경</x:v>
      </x:c>
      <x:c r="I244" s="23" t="str">
        <x:v>positive</x:v>
      </x:c>
      <x:c r="J244" s="23" t="n">
        <x:v>3</x:v>
      </x:c>
      <x:c r="K244" s="23" t="n">
        <x:v>1</x:v>
      </x:c>
      <x:c r="L244" s="23" t="n">
        <x:v>4</x:v>
      </x:c>
      <x:c r="M244" s="68" t="n">
        <x:v>0.75</x:v>
      </x:c>
      <x:c r="N244" s="68" t="n">
        <x:v>0.25</x:v>
      </x:c>
      <x:c r="O244" s="23" t="str">
        <x:v>positive</x:v>
      </x:c>
      <x:c r="P244" s="23" t="str">
        <x:v>none</x:v>
      </x:c>
      <x:c r="Q244" s="23" t="str">
        <x:v>bullish</x:v>
      </x:c>
      <x:c r="R244" s="23" t="str">
        <x:v>—</x:v>
      </x:c>
      <x:c r="S244" s="23" t="str">
        <x:v>bearish</x:v>
      </x:c>
      <x:c r="T244" s="23" t="str">
        <x:v>bullish</x:v>
      </x:c>
      <x:c r="U244" s="23" t="str">
        <x:v>bullish</x:v>
      </x:c>
    </x:row>
    <x:row r="245">
      <x:c r="A245" s="23" t="n">
        <x:v>2082</x:v>
      </x:c>
      <x:c r="B245" s="23" t="str">
        <x:v>NVDA</x:v>
      </x:c>
      <x:c r="C245" s="53" t="n">
        <x:v>46229.84179398148</x:v>
      </x:c>
      <x:c r="D245" s="23" t="str">
        <x:v>aleabitoreddit</x:v>
      </x:c>
      <x:c r="E245" s="23" t="str">
        <x:v>bullish</x:v>
      </x:c>
      <x:c r="F245" s="34" t="n">
        <x:v>0.7</x:v>
      </x:c>
      <x:c r="G245" s="23" t="str">
        <x:v>needs_review</x:v>
      </x:c>
      <x:c r="H245" s="23" t="str">
        <x:v>근거만</x:v>
      </x:c>
      <x:c r="I245" s="23" t="str">
        <x:v>positive</x:v>
      </x:c>
      <x:c r="J245" s="23" t="n">
        <x:v>3</x:v>
      </x:c>
      <x:c r="K245" s="23" t="n">
        <x:v>1</x:v>
      </x:c>
      <x:c r="L245" s="23" t="n">
        <x:v>4</x:v>
      </x:c>
      <x:c r="M245" s="68" t="n">
        <x:v>0.75</x:v>
      </x:c>
      <x:c r="N245" s="68" t="n">
        <x:v>0.25</x:v>
      </x:c>
      <x:c r="O245" s="23" t="str">
        <x:v>positive</x:v>
      </x:c>
      <x:c r="P245" s="23" t="str">
        <x:v>none</x:v>
      </x:c>
      <x:c r="Q245" s="23" t="str">
        <x:v>bullish</x:v>
      </x:c>
      <x:c r="R245" s="23" t="str">
        <x:v>—</x:v>
      </x:c>
      <x:c r="S245" s="23" t="str">
        <x:v>bearish</x:v>
      </x:c>
      <x:c r="T245" s="23" t="str">
        <x:v>bullish</x:v>
      </x:c>
      <x:c r="U245" s="23" t="str">
        <x:v>bullish</x:v>
      </x:c>
    </x:row>
    <x:row r="246">
      <x:c r="A246" s="23" t="n">
        <x:v>2093</x:v>
      </x:c>
      <x:c r="B246" s="23" t="str">
        <x:v>NVDA</x:v>
      </x:c>
      <x:c r="C246" s="53" t="n">
        <x:v>46229.909097222226</x:v>
      </x:c>
      <x:c r="D246" s="23" t="str">
        <x:v>Beth_Kindig</x:v>
      </x:c>
      <x:c r="E246" s="23" t="str">
        <x:v>bullish</x:v>
      </x:c>
      <x:c r="F246" s="34" t="n">
        <x:v>0.7</x:v>
      </x:c>
      <x:c r="G246" s="23" t="str">
        <x:v>needs_review</x:v>
      </x:c>
      <x:c r="H246" s="23" t="str">
        <x:v>근거만</x:v>
      </x:c>
      <x:c r="I246" s="23" t="str">
        <x:v>positive</x:v>
      </x:c>
      <x:c r="J246" s="23" t="n">
        <x:v>3</x:v>
      </x:c>
      <x:c r="K246" s="23" t="n">
        <x:v>1</x:v>
      </x:c>
      <x:c r="L246" s="23" t="n">
        <x:v>4</x:v>
      </x:c>
      <x:c r="M246" s="68" t="n">
        <x:v>0.75</x:v>
      </x:c>
      <x:c r="N246" s="68" t="n">
        <x:v>0.25</x:v>
      </x:c>
      <x:c r="O246" s="23" t="str">
        <x:v>positive</x:v>
      </x:c>
      <x:c r="P246" s="23" t="str">
        <x:v>none</x:v>
      </x:c>
      <x:c r="Q246" s="23" t="str">
        <x:v>bullish</x:v>
      </x:c>
      <x:c r="R246" s="23" t="str">
        <x:v>—</x:v>
      </x:c>
      <x:c r="S246" s="23" t="str">
        <x:v>bearish</x:v>
      </x:c>
      <x:c r="T246" s="23" t="str">
        <x:v>bullish</x:v>
      </x:c>
      <x:c r="U246" s="23" t="str">
        <x:v>bullish</x:v>
      </x:c>
    </x:row>
    <x:row r="247">
      <x:c r="A247" s="23" t="n">
        <x:v>2094</x:v>
      </x:c>
      <x:c r="B247" s="23" t="str">
        <x:v>NVDA</x:v>
      </x:c>
      <x:c r="C247" s="53" t="n">
        <x:v>46229.931446759256</x:v>
      </x:c>
      <x:c r="D247" s="23" t="str">
        <x:v>Beth_Kindig</x:v>
      </x:c>
      <x:c r="E247" s="23" t="str">
        <x:v>bullish</x:v>
      </x:c>
      <x:c r="F247" s="34" t="n">
        <x:v>0.8</x:v>
      </x:c>
      <x:c r="G247" s="23" t="str">
        <x:v>auto</x:v>
      </x:c>
      <x:c r="H247" s="23" t="str">
        <x:v>vote 변경</x:v>
      </x:c>
      <x:c r="I247" s="23" t="str">
        <x:v>positive</x:v>
      </x:c>
      <x:c r="J247" s="23" t="n">
        <x:v>3</x:v>
      </x:c>
      <x:c r="K247" s="23" t="n">
        <x:v>1</x:v>
      </x:c>
      <x:c r="L247" s="23" t="n">
        <x:v>4</x:v>
      </x:c>
      <x:c r="M247" s="68" t="n">
        <x:v>0.75</x:v>
      </x:c>
      <x:c r="N247" s="68" t="n">
        <x:v>0.25</x:v>
      </x:c>
      <x:c r="O247" s="23" t="str">
        <x:v>positive</x:v>
      </x:c>
      <x:c r="P247" s="23" t="str">
        <x:v>none</x:v>
      </x:c>
      <x:c r="Q247" s="23" t="str">
        <x:v>bullish</x:v>
      </x:c>
      <x:c r="R247" s="23" t="str">
        <x:v>—</x:v>
      </x:c>
      <x:c r="S247" s="23" t="str">
        <x:v>bearish</x:v>
      </x:c>
      <x:c r="T247" s="23" t="str">
        <x:v>bullish</x:v>
      </x:c>
      <x:c r="U247" s="23" t="str">
        <x:v>bullish</x:v>
      </x:c>
    </x:row>
    <x:row r="248">
      <x:c r="A248" s="23" t="n">
        <x:v>2097</x:v>
      </x:c>
      <x:c r="B248" s="23" t="str">
        <x:v>NVDA</x:v>
      </x:c>
      <x:c r="C248" s="53" t="n">
        <x:v>46229.976481481484</x:v>
      </x:c>
      <x:c r="D248" s="23" t="str">
        <x:v>StockSavvyShay</x:v>
      </x:c>
      <x:c r="E248" s="23" t="str">
        <x:v>neutral</x:v>
      </x:c>
      <x:c r="F248" s="34" t="n">
        <x:v>0.8</x:v>
      </x:c>
      <x:c r="G248" s="23" t="str">
        <x:v>auto</x:v>
      </x:c>
      <x:c r="H248" s="23" t="str">
        <x:v>근거만</x:v>
      </x:c>
      <x:c r="I248" s="23" t="str">
        <x:v>positive</x:v>
      </x:c>
      <x:c r="J248" s="23" t="n">
        <x:v>3</x:v>
      </x:c>
      <x:c r="K248" s="23" t="n">
        <x:v>1</x:v>
      </x:c>
      <x:c r="L248" s="23" t="n">
        <x:v>4</x:v>
      </x:c>
      <x:c r="M248" s="68" t="n">
        <x:v>0.75</x:v>
      </x:c>
      <x:c r="N248" s="68" t="n">
        <x:v>0.25</x:v>
      </x:c>
      <x:c r="O248" s="23" t="str">
        <x:v>positive</x:v>
      </x:c>
      <x:c r="P248" s="23" t="str">
        <x:v>none</x:v>
      </x:c>
      <x:c r="Q248" s="23" t="str">
        <x:v>bullish</x:v>
      </x:c>
      <x:c r="R248" s="23" t="str">
        <x:v>—</x:v>
      </x:c>
      <x:c r="S248" s="23" t="str">
        <x:v>bearish</x:v>
      </x:c>
      <x:c r="T248" s="23" t="str">
        <x:v>bullish</x:v>
      </x:c>
      <x:c r="U248" s="23" t="str">
        <x:v>bullish</x:v>
      </x:c>
    </x:row>
    <x:row r="249">
      <x:c r="A249" s="23" t="n">
        <x:v>2098</x:v>
      </x:c>
      <x:c r="B249" s="23" t="str">
        <x:v>NVDA</x:v>
      </x:c>
      <x:c r="C249" s="53" t="n">
        <x:v>46230.02074074074</x:v>
      </x:c>
      <x:c r="D249" s="23" t="str">
        <x:v>Beth_Kindig</x:v>
      </x:c>
      <x:c r="E249" s="23" t="str">
        <x:v>bearish</x:v>
      </x:c>
      <x:c r="F249" s="34" t="n">
        <x:v>0.8</x:v>
      </x:c>
      <x:c r="G249" s="23" t="str">
        <x:v>auto</x:v>
      </x:c>
      <x:c r="H249" s="23" t="str">
        <x:v>vote 변경</x:v>
      </x:c>
      <x:c r="I249" s="23" t="str">
        <x:v>positive</x:v>
      </x:c>
      <x:c r="J249" s="23" t="n">
        <x:v>2</x:v>
      </x:c>
      <x:c r="K249" s="23" t="n">
        <x:v>2</x:v>
      </x:c>
      <x:c r="L249" s="23" t="n">
        <x:v>4</x:v>
      </x:c>
      <x:c r="M249" s="68" t="n">
        <x:v>0.5</x:v>
      </x:c>
      <x:c r="N249" s="68" t="n">
        <x:v>0.5</x:v>
      </x:c>
      <x:c r="O249" s="23" t="str">
        <x:v>mixed</x:v>
      </x:c>
      <x:c r="P249" s="23" t="str">
        <x:v>exit</x:v>
      </x:c>
      <x:c r="Q249" s="23" t="str">
        <x:v>bearish</x:v>
      </x:c>
      <x:c r="R249" s="23" t="str">
        <x:v>—</x:v>
      </x:c>
      <x:c r="S249" s="23" t="str">
        <x:v>bearish</x:v>
      </x:c>
      <x:c r="T249" s="23" t="str">
        <x:v>bullish</x:v>
      </x:c>
      <x:c r="U249" s="23" t="str">
        <x:v>bullish</x:v>
      </x:c>
    </x:row>
    <x:row r="250">
      <x:c r="A250" s="23" t="n">
        <x:v>2100</x:v>
      </x:c>
      <x:c r="B250" s="23" t="str">
        <x:v>NVDA</x:v>
      </x:c>
      <x:c r="C250" s="53" t="n">
        <x:v>46230.04150462963</x:v>
      </x:c>
      <x:c r="D250" s="23" t="str">
        <x:v>StockSavvyShay</x:v>
      </x:c>
      <x:c r="E250" s="23" t="str">
        <x:v>neutral</x:v>
      </x:c>
      <x:c r="F250" s="34" t="n">
        <x:v>0</x:v>
      </x:c>
      <x:c r="G250" s="23" t="str">
        <x:v>needs_review</x:v>
      </x:c>
      <x:c r="H250" s="23" t="str">
        <x:v>근거만</x:v>
      </x:c>
      <x:c r="I250" s="23" t="str">
        <x:v>mixed</x:v>
      </x:c>
      <x:c r="J250" s="23" t="n">
        <x:v>2</x:v>
      </x:c>
      <x:c r="K250" s="23" t="n">
        <x:v>2</x:v>
      </x:c>
      <x:c r="L250" s="23" t="n">
        <x:v>4</x:v>
      </x:c>
      <x:c r="M250" s="68" t="n">
        <x:v>0.5</x:v>
      </x:c>
      <x:c r="N250" s="68" t="n">
        <x:v>0.5</x:v>
      </x:c>
      <x:c r="O250" s="23" t="str">
        <x:v>mixed</x:v>
      </x:c>
      <x:c r="P250" s="23" t="str">
        <x:v>none</x:v>
      </x:c>
      <x:c r="Q250" s="23" t="str">
        <x:v>bearish</x:v>
      </x:c>
      <x:c r="R250" s="23" t="str">
        <x:v>—</x:v>
      </x:c>
      <x:c r="S250" s="23" t="str">
        <x:v>bearish</x:v>
      </x:c>
      <x:c r="T250" s="23" t="str">
        <x:v>bullish</x:v>
      </x:c>
      <x:c r="U250" s="23" t="str">
        <x:v>bullish</x:v>
      </x:c>
    </x:row>
    <x:row r="251">
      <x:c r="A251" s="23" t="n">
        <x:v>2103</x:v>
      </x:c>
      <x:c r="B251" s="23" t="str">
        <x:v>NVDA</x:v>
      </x:c>
      <x:c r="C251" s="53" t="n">
        <x:v>46230.05065972222</x:v>
      </x:c>
      <x:c r="D251" s="23" t="str">
        <x:v>aleabitoreddit</x:v>
      </x:c>
      <x:c r="E251" s="23" t="str">
        <x:v>bullish</x:v>
      </x:c>
      <x:c r="F251" s="34" t="n">
        <x:v>0.8</x:v>
      </x:c>
      <x:c r="G251" s="23" t="str">
        <x:v>auto</x:v>
      </x:c>
      <x:c r="H251" s="23" t="str">
        <x:v>vote 변경</x:v>
      </x:c>
      <x:c r="I251" s="23" t="str">
        <x:v>mixed</x:v>
      </x:c>
      <x:c r="J251" s="23" t="n">
        <x:v>2</x:v>
      </x:c>
      <x:c r="K251" s="23" t="n">
        <x:v>2</x:v>
      </x:c>
      <x:c r="L251" s="23" t="n">
        <x:v>4</x:v>
      </x:c>
      <x:c r="M251" s="68" t="n">
        <x:v>0.5</x:v>
      </x:c>
      <x:c r="N251" s="68" t="n">
        <x:v>0.5</x:v>
      </x:c>
      <x:c r="O251" s="23" t="str">
        <x:v>mixed</x:v>
      </x:c>
      <x:c r="P251" s="23" t="str">
        <x:v>none</x:v>
      </x:c>
      <x:c r="Q251" s="23" t="str">
        <x:v>bearish</x:v>
      </x:c>
      <x:c r="R251" s="23" t="str">
        <x:v>—</x:v>
      </x:c>
      <x:c r="S251" s="23" t="str">
        <x:v>bearish</x:v>
      </x:c>
      <x:c r="T251" s="23" t="str">
        <x:v>bullish</x:v>
      </x:c>
      <x:c r="U251" s="23" t="str">
        <x:v>bullish</x:v>
      </x:c>
    </x:row>
    <x:row r="252">
      <x:c r="A252" s="23" t="n">
        <x:v>2111</x:v>
      </x:c>
      <x:c r="B252" s="23" t="str">
        <x:v>NVDA</x:v>
      </x:c>
      <x:c r="C252" s="53" t="n">
        <x:v>46230.391689814816</x:v>
      </x:c>
      <x:c r="D252" s="23" t="str">
        <x:v>StockSavvyShay</x:v>
      </x:c>
      <x:c r="E252" s="23" t="str">
        <x:v>neutral</x:v>
      </x:c>
      <x:c r="F252" s="34" t="n">
        <x:v>0.8</x:v>
      </x:c>
      <x:c r="G252" s="23" t="str">
        <x:v>auto</x:v>
      </x:c>
      <x:c r="H252" s="23" t="str">
        <x:v>근거만</x:v>
      </x:c>
      <x:c r="I252" s="23" t="str">
        <x:v>mixed</x:v>
      </x:c>
      <x:c r="J252" s="23" t="n">
        <x:v>2</x:v>
      </x:c>
      <x:c r="K252" s="23" t="n">
        <x:v>2</x:v>
      </x:c>
      <x:c r="L252" s="23" t="n">
        <x:v>4</x:v>
      </x:c>
      <x:c r="M252" s="68" t="n">
        <x:v>0.5</x:v>
      </x:c>
      <x:c r="N252" s="68" t="n">
        <x:v>0.5</x:v>
      </x:c>
      <x:c r="O252" s="23" t="str">
        <x:v>mixed</x:v>
      </x:c>
      <x:c r="P252" s="23" t="str">
        <x:v>none</x:v>
      </x:c>
      <x:c r="Q252" s="23" t="str">
        <x:v>bearish</x:v>
      </x:c>
      <x:c r="R252" s="23" t="str">
        <x:v>—</x:v>
      </x:c>
      <x:c r="S252" s="23" t="str">
        <x:v>bearish</x:v>
      </x:c>
      <x:c r="T252" s="23" t="str">
        <x:v>bullish</x:v>
      </x:c>
      <x:c r="U252" s="23" t="str">
        <x:v>bullish</x:v>
      </x:c>
    </x:row>
    <x:row r="253">
      <x:c r="A253" s="23" t="n">
        <x:v>2120</x:v>
      </x:c>
      <x:c r="B253" s="23" t="str">
        <x:v>NVDA</x:v>
      </x:c>
      <x:c r="C253" s="53" t="n">
        <x:v>46230.48133101852</x:v>
      </x:c>
      <x:c r="D253" s="23" t="str">
        <x:v>StockSavvyShay</x:v>
      </x:c>
      <x:c r="E253" s="23" t="str">
        <x:v>neutral</x:v>
      </x:c>
      <x:c r="F253" s="34" t="n">
        <x:v>0</x:v>
      </x:c>
      <x:c r="G253" s="23" t="str">
        <x:v>needs_review</x:v>
      </x:c>
      <x:c r="H253" s="23" t="str">
        <x:v>근거만</x:v>
      </x:c>
      <x:c r="I253" s="23" t="str">
        <x:v>mixed</x:v>
      </x:c>
      <x:c r="J253" s="23" t="n">
        <x:v>2</x:v>
      </x:c>
      <x:c r="K253" s="23" t="n">
        <x:v>2</x:v>
      </x:c>
      <x:c r="L253" s="23" t="n">
        <x:v>4</x:v>
      </x:c>
      <x:c r="M253" s="68" t="n">
        <x:v>0.5</x:v>
      </x:c>
      <x:c r="N253" s="68" t="n">
        <x:v>0.5</x:v>
      </x:c>
      <x:c r="O253" s="23" t="str">
        <x:v>mixed</x:v>
      </x:c>
      <x:c r="P253" s="23" t="str">
        <x:v>none</x:v>
      </x:c>
      <x:c r="Q253" s="23" t="str">
        <x:v>bearish</x:v>
      </x:c>
      <x:c r="R253" s="23" t="str">
        <x:v>—</x:v>
      </x:c>
      <x:c r="S253" s="23" t="str">
        <x:v>bearish</x:v>
      </x:c>
      <x:c r="T253" s="23" t="str">
        <x:v>bullish</x:v>
      </x:c>
      <x:c r="U253" s="23" t="str">
        <x:v>bullish</x:v>
      </x:c>
    </x:row>
    <x:row r="254">
      <x:c r="A254" s="23" t="n">
        <x:v>2139</x:v>
      </x:c>
      <x:c r="B254" s="23" t="str">
        <x:v>NVDA</x:v>
      </x:c>
      <x:c r="C254" s="53" t="n">
        <x:v>46230.4925</x:v>
      </x:c>
      <x:c r="D254" s="23" t="str">
        <x:v>StockMKTNewz</x:v>
      </x:c>
      <x:c r="E254" s="23" t="str">
        <x:v>neutral</x:v>
      </x:c>
      <x:c r="F254" s="34" t="n">
        <x:v>0.8</x:v>
      </x:c>
      <x:c r="G254" s="23" t="str">
        <x:v>auto</x:v>
      </x:c>
      <x:c r="H254" s="23" t="str">
        <x:v>근거만</x:v>
      </x:c>
      <x:c r="I254" s="23" t="str">
        <x:v>mixed</x:v>
      </x:c>
      <x:c r="J254" s="23" t="n">
        <x:v>2</x:v>
      </x:c>
      <x:c r="K254" s="23" t="n">
        <x:v>2</x:v>
      </x:c>
      <x:c r="L254" s="23" t="n">
        <x:v>4</x:v>
      </x:c>
      <x:c r="M254" s="68" t="n">
        <x:v>0.5</x:v>
      </x:c>
      <x:c r="N254" s="68" t="n">
        <x:v>0.5</x:v>
      </x:c>
      <x:c r="O254" s="23" t="str">
        <x:v>mixed</x:v>
      </x:c>
      <x:c r="P254" s="23" t="str">
        <x:v>none</x:v>
      </x:c>
      <x:c r="Q254" s="23" t="str">
        <x:v>bearish</x:v>
      </x:c>
      <x:c r="R254" s="23" t="str">
        <x:v>—</x:v>
      </x:c>
      <x:c r="S254" s="23" t="str">
        <x:v>bearish</x:v>
      </x:c>
      <x:c r="T254" s="23" t="str">
        <x:v>bullish</x:v>
      </x:c>
      <x:c r="U254" s="23" t="str">
        <x:v>bullish</x:v>
      </x:c>
    </x:row>
    <x:row r="255">
      <x:c r="A255" s="23" t="n">
        <x:v>2143</x:v>
      </x:c>
      <x:c r="B255" s="23" t="str">
        <x:v>NVDA</x:v>
      </x:c>
      <x:c r="C255" s="53" t="n">
        <x:v>46230.54324074074</x:v>
      </x:c>
      <x:c r="D255" s="23" t="str">
        <x:v>StockMKTNewz</x:v>
      </x:c>
      <x:c r="E255" s="23" t="str">
        <x:v>bullish</x:v>
      </x:c>
      <x:c r="F255" s="34" t="n">
        <x:v>0.8</x:v>
      </x:c>
      <x:c r="G255" s="23" t="str">
        <x:v>auto</x:v>
      </x:c>
      <x:c r="H255" s="23" t="str">
        <x:v>vote 변경</x:v>
      </x:c>
      <x:c r="I255" s="23" t="str">
        <x:v>mixed</x:v>
      </x:c>
      <x:c r="J255" s="23" t="n">
        <x:v>3</x:v>
      </x:c>
      <x:c r="K255" s="23" t="n">
        <x:v>1</x:v>
      </x:c>
      <x:c r="L255" s="23" t="n">
        <x:v>4</x:v>
      </x:c>
      <x:c r="M255" s="68" t="n">
        <x:v>0.75</x:v>
      </x:c>
      <x:c r="N255" s="68" t="n">
        <x:v>0.25</x:v>
      </x:c>
      <x:c r="O255" s="23" t="str">
        <x:v>positive</x:v>
      </x:c>
      <x:c r="P255" s="23" t="str">
        <x:v>entry</x:v>
      </x:c>
      <x:c r="Q255" s="23" t="str">
        <x:v>bearish</x:v>
      </x:c>
      <x:c r="R255" s="23" t="str">
        <x:v>—</x:v>
      </x:c>
      <x:c r="S255" s="23" t="str">
        <x:v>bullish</x:v>
      </x:c>
      <x:c r="T255" s="23" t="str">
        <x:v>bullish</x:v>
      </x:c>
      <x:c r="U255" s="23" t="str">
        <x:v>bullish</x:v>
      </x:c>
    </x:row>
    <x:row r="256">
      <x:c r="A256" s="23" t="n">
        <x:v>2128</x:v>
      </x:c>
      <x:c r="B256" s="23" t="str">
        <x:v>NVDA</x:v>
      </x:c>
      <x:c r="C256" s="53" t="n">
        <x:v>46230.54699074074</x:v>
      </x:c>
      <x:c r="D256" s="23" t="str">
        <x:v>StockSavvyShay</x:v>
      </x:c>
      <x:c r="E256" s="23" t="str">
        <x:v>neutral</x:v>
      </x:c>
      <x:c r="F256" s="34" t="n">
        <x:v>0</x:v>
      </x:c>
      <x:c r="G256" s="23" t="str">
        <x:v>needs_review</x:v>
      </x:c>
      <x:c r="H256" s="23" t="str">
        <x:v>근거만</x:v>
      </x:c>
      <x:c r="I256" s="23" t="str">
        <x:v>positive</x:v>
      </x:c>
      <x:c r="J256" s="23" t="n">
        <x:v>3</x:v>
      </x:c>
      <x:c r="K256" s="23" t="n">
        <x:v>1</x:v>
      </x:c>
      <x:c r="L256" s="23" t="n">
        <x:v>4</x:v>
      </x:c>
      <x:c r="M256" s="68" t="n">
        <x:v>0.75</x:v>
      </x:c>
      <x:c r="N256" s="68" t="n">
        <x:v>0.25</x:v>
      </x:c>
      <x:c r="O256" s="23" t="str">
        <x:v>positive</x:v>
      </x:c>
      <x:c r="P256" s="23" t="str">
        <x:v>none</x:v>
      </x:c>
      <x:c r="Q256" s="23" t="str">
        <x:v>bearish</x:v>
      </x:c>
      <x:c r="R256" s="23" t="str">
        <x:v>—</x:v>
      </x:c>
      <x:c r="S256" s="23" t="str">
        <x:v>bullish</x:v>
      </x:c>
      <x:c r="T256" s="23" t="str">
        <x:v>bullish</x:v>
      </x:c>
      <x:c r="U256" s="23" t="str">
        <x:v>bullish</x:v>
      </x:c>
    </x:row>
    <x:row r="257">
      <x:c r="A257" s="23" t="n">
        <x:v>2147</x:v>
      </x:c>
      <x:c r="B257" s="23" t="str">
        <x:v>NVDA</x:v>
      </x:c>
      <x:c r="C257" s="53" t="n">
        <x:v>46230.5916087963</x:v>
      </x:c>
      <x:c r="D257" s="23" t="str">
        <x:v>StockMKTNewz</x:v>
      </x:c>
      <x:c r="E257" s="23" t="str">
        <x:v>neutral</x:v>
      </x:c>
      <x:c r="F257" s="34" t="n">
        <x:v>0</x:v>
      </x:c>
      <x:c r="G257" s="23" t="str">
        <x:v>needs_review</x:v>
      </x:c>
      <x:c r="H257" s="23" t="str">
        <x:v>근거만</x:v>
      </x:c>
      <x:c r="I257" s="23" t="str">
        <x:v>positive</x:v>
      </x:c>
      <x:c r="J257" s="23" t="n">
        <x:v>3</x:v>
      </x:c>
      <x:c r="K257" s="23" t="n">
        <x:v>1</x:v>
      </x:c>
      <x:c r="L257" s="23" t="n">
        <x:v>4</x:v>
      </x:c>
      <x:c r="M257" s="68" t="n">
        <x:v>0.75</x:v>
      </x:c>
      <x:c r="N257" s="68" t="n">
        <x:v>0.25</x:v>
      </x:c>
      <x:c r="O257" s="23" t="str">
        <x:v>positive</x:v>
      </x:c>
      <x:c r="P257" s="23" t="str">
        <x:v>none</x:v>
      </x:c>
      <x:c r="Q257" s="23" t="str">
        <x:v>bearish</x:v>
      </x:c>
      <x:c r="R257" s="23" t="str">
        <x:v>—</x:v>
      </x:c>
      <x:c r="S257" s="23" t="str">
        <x:v>bullish</x:v>
      </x:c>
      <x:c r="T257" s="23" t="str">
        <x:v>bullish</x:v>
      </x:c>
      <x:c r="U257" s="23" t="str">
        <x:v>bullish</x:v>
      </x:c>
    </x:row>
    <x:row r="258">
      <x:c r="A258" s="23" t="n">
        <x:v>2156</x:v>
      </x:c>
      <x:c r="B258" s="23" t="str">
        <x:v>NVDA</x:v>
      </x:c>
      <x:c r="C258" s="53" t="n">
        <x:v>46230.62740740741</x:v>
      </x:c>
      <x:c r="D258" s="23" t="str">
        <x:v>StockSavvyShay</x:v>
      </x:c>
      <x:c r="E258" s="23" t="str">
        <x:v>bearish</x:v>
      </x:c>
      <x:c r="F258" s="34" t="n">
        <x:v>0.8</x:v>
      </x:c>
      <x:c r="G258" s="23" t="str">
        <x:v>auto</x:v>
      </x:c>
      <x:c r="H258" s="23" t="str">
        <x:v>vote 변경</x:v>
      </x:c>
      <x:c r="I258" s="23" t="str">
        <x:v>positive</x:v>
      </x:c>
      <x:c r="J258" s="23" t="n">
        <x:v>2</x:v>
      </x:c>
      <x:c r="K258" s="23" t="n">
        <x:v>2</x:v>
      </x:c>
      <x:c r="L258" s="23" t="n">
        <x:v>4</x:v>
      </x:c>
      <x:c r="M258" s="68" t="n">
        <x:v>0.5</x:v>
      </x:c>
      <x:c r="N258" s="68" t="n">
        <x:v>0.5</x:v>
      </x:c>
      <x:c r="O258" s="23" t="str">
        <x:v>mixed</x:v>
      </x:c>
      <x:c r="P258" s="23" t="str">
        <x:v>exit</x:v>
      </x:c>
      <x:c r="Q258" s="23" t="str">
        <x:v>bearish</x:v>
      </x:c>
      <x:c r="R258" s="23" t="str">
        <x:v>—</x:v>
      </x:c>
      <x:c r="S258" s="23" t="str">
        <x:v>bullish</x:v>
      </x:c>
      <x:c r="T258" s="23" t="str">
        <x:v>bearish</x:v>
      </x:c>
      <x:c r="U258" s="23" t="str">
        <x:v>bullish</x:v>
      </x:c>
    </x:row>
    <x:row r="259">
      <x:c r="A259" s="23" t="n">
        <x:v>2271</x:v>
      </x:c>
      <x:c r="B259" s="23" t="str">
        <x:v>NVDA</x:v>
      </x:c>
      <x:c r="C259" s="53" t="n">
        <x:v>46230.63486111111</x:v>
      </x:c>
      <x:c r="D259" s="23" t="str">
        <x:v>Brian_Stoffel_</x:v>
      </x:c>
      <x:c r="E259" s="23" t="str">
        <x:v>bearish</x:v>
      </x:c>
      <x:c r="F259" s="34" t="n">
        <x:v>0.7</x:v>
      </x:c>
      <x:c r="G259" s="23" t="str">
        <x:v>needs_review</x:v>
      </x:c>
      <x:c r="H259" s="23" t="str">
        <x:v>근거만</x:v>
      </x:c>
      <x:c r="I259" s="23" t="str">
        <x:v>mixed</x:v>
      </x:c>
      <x:c r="J259" s="23" t="n">
        <x:v>2</x:v>
      </x:c>
      <x:c r="K259" s="23" t="n">
        <x:v>2</x:v>
      </x:c>
      <x:c r="L259" s="23" t="n">
        <x:v>4</x:v>
      </x:c>
      <x:c r="M259" s="68" t="n">
        <x:v>0.5</x:v>
      </x:c>
      <x:c r="N259" s="68" t="n">
        <x:v>0.5</x:v>
      </x:c>
      <x:c r="O259" s="23" t="str">
        <x:v>mixed</x:v>
      </x:c>
      <x:c r="P259" s="23" t="str">
        <x:v>none</x:v>
      </x:c>
      <x:c r="Q259" s="23" t="str">
        <x:v>bearish</x:v>
      </x:c>
      <x:c r="R259" s="23" t="str">
        <x:v>—</x:v>
      </x:c>
      <x:c r="S259" s="23" t="str">
        <x:v>bullish</x:v>
      </x:c>
      <x:c r="T259" s="23" t="str">
        <x:v>bearish</x:v>
      </x:c>
      <x:c r="U259" s="23" t="str">
        <x:v>bullish</x:v>
      </x:c>
    </x:row>
    <x:row r="260">
      <x:c r="A260" s="23" t="n">
        <x:v>2174</x:v>
      </x:c>
      <x:c r="B260" s="23" t="str">
        <x:v>NVDA</x:v>
      </x:c>
      <x:c r="C260" s="53" t="n">
        <x:v>46230.69520833333</x:v>
      </x:c>
      <x:c r="D260" s="23" t="str">
        <x:v>StockSavvyShay</x:v>
      </x:c>
      <x:c r="E260" s="23" t="str">
        <x:v>bullish</x:v>
      </x:c>
      <x:c r="F260" s="34" t="n">
        <x:v>1</x:v>
      </x:c>
      <x:c r="G260" s="23" t="str">
        <x:v>auto</x:v>
      </x:c>
      <x:c r="H260" s="23" t="str">
        <x:v>vote 변경</x:v>
      </x:c>
      <x:c r="I260" s="23" t="str">
        <x:v>mixed</x:v>
      </x:c>
      <x:c r="J260" s="23" t="n">
        <x:v>3</x:v>
      </x:c>
      <x:c r="K260" s="23" t="n">
        <x:v>1</x:v>
      </x:c>
      <x:c r="L260" s="23" t="n">
        <x:v>4</x:v>
      </x:c>
      <x:c r="M260" s="68" t="n">
        <x:v>0.75</x:v>
      </x:c>
      <x:c r="N260" s="68" t="n">
        <x:v>0.25</x:v>
      </x:c>
      <x:c r="O260" s="23" t="str">
        <x:v>positive</x:v>
      </x:c>
      <x:c r="P260" s="23" t="str">
        <x:v>entry</x:v>
      </x:c>
      <x:c r="Q260" s="23" t="str">
        <x:v>bearish</x:v>
      </x:c>
      <x:c r="R260" s="23" t="str">
        <x:v>—</x:v>
      </x:c>
      <x:c r="S260" s="23" t="str">
        <x:v>bullish</x:v>
      </x:c>
      <x:c r="T260" s="23" t="str">
        <x:v>bullish</x:v>
      </x:c>
      <x:c r="U260" s="23" t="str">
        <x:v>bullish</x:v>
      </x:c>
    </x:row>
    <x:row r="261">
      <x:c r="A261" s="23" t="n">
        <x:v>2177</x:v>
      </x:c>
      <x:c r="B261" s="23" t="str">
        <x:v>NVDA</x:v>
      </x:c>
      <x:c r="C261" s="53" t="n">
        <x:v>46230.74932870371</x:v>
      </x:c>
      <x:c r="D261" s="23" t="str">
        <x:v>StockSavvyShay</x:v>
      </x:c>
      <x:c r="E261" s="23" t="str">
        <x:v>neutral</x:v>
      </x:c>
      <x:c r="F261" s="34" t="n">
        <x:v>0</x:v>
      </x:c>
      <x:c r="G261" s="23" t="str">
        <x:v>needs_review</x:v>
      </x:c>
      <x:c r="H261" s="23" t="str">
        <x:v>근거만</x:v>
      </x:c>
      <x:c r="I261" s="23" t="str">
        <x:v>positive</x:v>
      </x:c>
      <x:c r="J261" s="23" t="n">
        <x:v>3</x:v>
      </x:c>
      <x:c r="K261" s="23" t="n">
        <x:v>1</x:v>
      </x:c>
      <x:c r="L261" s="23" t="n">
        <x:v>4</x:v>
      </x:c>
      <x:c r="M261" s="68" t="n">
        <x:v>0.75</x:v>
      </x:c>
      <x:c r="N261" s="68" t="n">
        <x:v>0.25</x:v>
      </x:c>
      <x:c r="O261" s="23" t="str">
        <x:v>positive</x:v>
      </x:c>
      <x:c r="P261" s="23" t="str">
        <x:v>none</x:v>
      </x:c>
      <x:c r="Q261" s="23" t="str">
        <x:v>bearish</x:v>
      </x:c>
      <x:c r="R261" s="23" t="str">
        <x:v>—</x:v>
      </x:c>
      <x:c r="S261" s="23" t="str">
        <x:v>bullish</x:v>
      </x:c>
      <x:c r="T261" s="23" t="str">
        <x:v>bullish</x:v>
      </x:c>
      <x:c r="U261" s="23" t="str">
        <x:v>bullish</x:v>
      </x:c>
    </x:row>
    <x:row r="262">
      <x:c r="A262" s="23" t="n">
        <x:v>2178</x:v>
      </x:c>
      <x:c r="B262" s="23" t="str">
        <x:v>NVDA</x:v>
      </x:c>
      <x:c r="C262" s="53" t="n">
        <x:v>46230.758263888885</x:v>
      </x:c>
      <x:c r="D262" s="23" t="str">
        <x:v>StockSavvyShay</x:v>
      </x:c>
      <x:c r="E262" s="23" t="str">
        <x:v>bullish</x:v>
      </x:c>
      <x:c r="F262" s="34" t="n">
        <x:v>0.8</x:v>
      </x:c>
      <x:c r="G262" s="23" t="str">
        <x:v>auto</x:v>
      </x:c>
      <x:c r="H262" s="23" t="str">
        <x:v>vote 변경</x:v>
      </x:c>
      <x:c r="I262" s="23" t="str">
        <x:v>positive</x:v>
      </x:c>
      <x:c r="J262" s="23" t="n">
        <x:v>3</x:v>
      </x:c>
      <x:c r="K262" s="23" t="n">
        <x:v>1</x:v>
      </x:c>
      <x:c r="L262" s="23" t="n">
        <x:v>4</x:v>
      </x:c>
      <x:c r="M262" s="68" t="n">
        <x:v>0.75</x:v>
      </x:c>
      <x:c r="N262" s="68" t="n">
        <x:v>0.25</x:v>
      </x:c>
      <x:c r="O262" s="23" t="str">
        <x:v>positive</x:v>
      </x:c>
      <x:c r="P262" s="23" t="str">
        <x:v>none</x:v>
      </x:c>
      <x:c r="Q262" s="23" t="str">
        <x:v>bearish</x:v>
      </x:c>
      <x:c r="R262" s="23" t="str">
        <x:v>—</x:v>
      </x:c>
      <x:c r="S262" s="23" t="str">
        <x:v>bullish</x:v>
      </x:c>
      <x:c r="T262" s="23" t="str">
        <x:v>bullish</x:v>
      </x:c>
      <x:c r="U262" s="23" t="str">
        <x:v>bullish</x:v>
      </x:c>
    </x:row>
    <x:row r="263">
      <x:c r="A263" s="23" t="n">
        <x:v>2183</x:v>
      </x:c>
      <x:c r="B263" s="23" t="str">
        <x:v>NVDA</x:v>
      </x:c>
      <x:c r="C263" s="53" t="n">
        <x:v>46230.83232638889</x:v>
      </x:c>
      <x:c r="D263" s="23" t="str">
        <x:v>Beth_Kindig</x:v>
      </x:c>
      <x:c r="E263" s="23" t="str">
        <x:v>neutral</x:v>
      </x:c>
      <x:c r="F263" s="34" t="n">
        <x:v>0.5</x:v>
      </x:c>
      <x:c r="G263" s="23" t="str">
        <x:v>needs_review</x:v>
      </x:c>
      <x:c r="H263" s="23" t="str">
        <x:v>근거만</x:v>
      </x:c>
      <x:c r="I263" s="23" t="str">
        <x:v>positive</x:v>
      </x:c>
      <x:c r="J263" s="23" t="n">
        <x:v>3</x:v>
      </x:c>
      <x:c r="K263" s="23" t="n">
        <x:v>1</x:v>
      </x:c>
      <x:c r="L263" s="23" t="n">
        <x:v>4</x:v>
      </x:c>
      <x:c r="M263" s="68" t="n">
        <x:v>0.75</x:v>
      </x:c>
      <x:c r="N263" s="68" t="n">
        <x:v>0.25</x:v>
      </x:c>
      <x:c r="O263" s="23" t="str">
        <x:v>positive</x:v>
      </x:c>
      <x:c r="P263" s="23" t="str">
        <x:v>none</x:v>
      </x:c>
      <x:c r="Q263" s="23" t="str">
        <x:v>bearish</x:v>
      </x:c>
      <x:c r="R263" s="23" t="str">
        <x:v>—</x:v>
      </x:c>
      <x:c r="S263" s="23" t="str">
        <x:v>bullish</x:v>
      </x:c>
      <x:c r="T263" s="23" t="str">
        <x:v>bullish</x:v>
      </x:c>
      <x:c r="U263" s="23" t="str">
        <x:v>bullish</x:v>
      </x:c>
    </x:row>
    <x:row r="264">
      <x:c r="A264" s="23" t="n">
        <x:v>2214</x:v>
      </x:c>
      <x:c r="B264" s="23" t="str">
        <x:v>NVDA</x:v>
      </x:c>
      <x:c r="C264" s="53" t="n">
        <x:v>46231.54949074074</x:v>
      </x:c>
      <x:c r="D264" s="23" t="str">
        <x:v>StockSavvyShay</x:v>
      </x:c>
      <x:c r="E264" s="23" t="str">
        <x:v>bullish</x:v>
      </x:c>
      <x:c r="F264" s="34" t="n">
        <x:v>0.8</x:v>
      </x:c>
      <x:c r="G264" s="23" t="str">
        <x:v>needs_review</x:v>
      </x:c>
      <x:c r="H264" s="23" t="str">
        <x:v>근거만</x:v>
      </x:c>
      <x:c r="I264" s="23" t="str">
        <x:v>positive</x:v>
      </x:c>
      <x:c r="J264" s="23" t="n">
        <x:v>3</x:v>
      </x:c>
      <x:c r="K264" s="23" t="n">
        <x:v>1</x:v>
      </x:c>
      <x:c r="L264" s="23" t="n">
        <x:v>4</x:v>
      </x:c>
      <x:c r="M264" s="68" t="n">
        <x:v>0.75</x:v>
      </x:c>
      <x:c r="N264" s="68" t="n">
        <x:v>0.25</x:v>
      </x:c>
      <x:c r="O264" s="23" t="str">
        <x:v>positive</x:v>
      </x:c>
      <x:c r="P264" s="23" t="str">
        <x:v>none</x:v>
      </x:c>
      <x:c r="Q264" s="23" t="str">
        <x:v>bearish</x:v>
      </x:c>
      <x:c r="R264" s="23" t="str">
        <x:v>—</x:v>
      </x:c>
      <x:c r="S264" s="23" t="str">
        <x:v>bullish</x:v>
      </x:c>
      <x:c r="T264" s="23" t="str">
        <x:v>bullish</x:v>
      </x:c>
      <x:c r="U264" s="23" t="str">
        <x:v>bullish</x:v>
      </x:c>
    </x:row>
    <x:row r="265">
      <x:c r="A265" s="23" t="n">
        <x:v>2219</x:v>
      </x:c>
      <x:c r="B265" s="23" t="str">
        <x:v>NVDA</x:v>
      </x:c>
      <x:c r="C265" s="53" t="n">
        <x:v>46231.588472222225</x:v>
      </x:c>
      <x:c r="D265" s="23" t="str">
        <x:v>Beth_Kindig</x:v>
      </x:c>
      <x:c r="E265" s="23" t="str">
        <x:v>neutral</x:v>
      </x:c>
      <x:c r="F265" s="34" t="n">
        <x:v>0.5</x:v>
      </x:c>
      <x:c r="G265" s="23" t="str">
        <x:v>needs_review</x:v>
      </x:c>
      <x:c r="H265" s="23" t="str">
        <x:v>근거만</x:v>
      </x:c>
      <x:c r="I265" s="23" t="str">
        <x:v>positive</x:v>
      </x:c>
      <x:c r="J265" s="23" t="n">
        <x:v>3</x:v>
      </x:c>
      <x:c r="K265" s="23" t="n">
        <x:v>1</x:v>
      </x:c>
      <x:c r="L265" s="23" t="n">
        <x:v>4</x:v>
      </x:c>
      <x:c r="M265" s="68" t="n">
        <x:v>0.75</x:v>
      </x:c>
      <x:c r="N265" s="68" t="n">
        <x:v>0.25</x:v>
      </x:c>
      <x:c r="O265" s="23" t="str">
        <x:v>positive</x:v>
      </x:c>
      <x:c r="P265" s="23" t="str">
        <x:v>none</x:v>
      </x:c>
      <x:c r="Q265" s="23" t="str">
        <x:v>bearish</x:v>
      </x:c>
      <x:c r="R265" s="23" t="str">
        <x:v>—</x:v>
      </x:c>
      <x:c r="S265" s="23" t="str">
        <x:v>bullish</x:v>
      </x:c>
      <x:c r="T265" s="23" t="str">
        <x:v>bullish</x:v>
      </x:c>
      <x:c r="U265" s="23" t="str">
        <x:v>bullish</x:v>
      </x:c>
    </x:row>
    <x:row r="266">
      <x:c r="A266" s="23" t="n">
        <x:v>2233</x:v>
      </x:c>
      <x:c r="B266" s="23" t="str">
        <x:v>NVDA</x:v>
      </x:c>
      <x:c r="C266" s="53" t="n">
        <x:v>46231.71084490741</x:v>
      </x:c>
      <x:c r="D266" s="23" t="str">
        <x:v>StockSavvyShay</x:v>
      </x:c>
      <x:c r="E266" s="23" t="str">
        <x:v>bullish</x:v>
      </x:c>
      <x:c r="F266" s="34" t="n">
        <x:v>0.9</x:v>
      </x:c>
      <x:c r="G266" s="23" t="str">
        <x:v>auto</x:v>
      </x:c>
      <x:c r="H266" s="23" t="str">
        <x:v>vote 변경</x:v>
      </x:c>
      <x:c r="I266" s="23" t="str">
        <x:v>positive</x:v>
      </x:c>
      <x:c r="J266" s="23" t="n">
        <x:v>3</x:v>
      </x:c>
      <x:c r="K266" s="23" t="n">
        <x:v>1</x:v>
      </x:c>
      <x:c r="L266" s="23" t="n">
        <x:v>4</x:v>
      </x:c>
      <x:c r="M266" s="68" t="n">
        <x:v>0.75</x:v>
      </x:c>
      <x:c r="N266" s="68" t="n">
        <x:v>0.25</x:v>
      </x:c>
      <x:c r="O266" s="23" t="str">
        <x:v>positive</x:v>
      </x:c>
      <x:c r="P266" s="23" t="str">
        <x:v>none</x:v>
      </x:c>
      <x:c r="Q266" s="23" t="str">
        <x:v>bearish</x:v>
      </x:c>
      <x:c r="R266" s="23" t="str">
        <x:v>—</x:v>
      </x:c>
      <x:c r="S266" s="23" t="str">
        <x:v>bullish</x:v>
      </x:c>
      <x:c r="T266" s="23" t="str">
        <x:v>bullish</x:v>
      </x:c>
      <x:c r="U266" s="23" t="str">
        <x:v>bullish</x:v>
      </x:c>
    </x:row>
    <x:row r="267">
      <x:c r="A267" s="23" t="n">
        <x:v>2274</x:v>
      </x:c>
      <x:c r="B267" s="23" t="str">
        <x:v>NVDA</x:v>
      </x:c>
      <x:c r="C267" s="53" t="n">
        <x:v>46231.71748842593</x:v>
      </x:c>
      <x:c r="D267" s="23" t="str">
        <x:v>StockMKTNewz</x:v>
      </x:c>
      <x:c r="E267" s="23" t="str">
        <x:v>bullish</x:v>
      </x:c>
      <x:c r="F267" s="34" t="n">
        <x:v>0.7</x:v>
      </x:c>
      <x:c r="G267" s="23" t="str">
        <x:v>needs_review</x:v>
      </x:c>
      <x:c r="H267" s="23" t="str">
        <x:v>근거만</x:v>
      </x:c>
      <x:c r="I267" s="23" t="str">
        <x:v>positive</x:v>
      </x:c>
      <x:c r="J267" s="23" t="n">
        <x:v>3</x:v>
      </x:c>
      <x:c r="K267" s="23" t="n">
        <x:v>1</x:v>
      </x:c>
      <x:c r="L267" s="23" t="n">
        <x:v>4</x:v>
      </x:c>
      <x:c r="M267" s="68" t="n">
        <x:v>0.75</x:v>
      </x:c>
      <x:c r="N267" s="68" t="n">
        <x:v>0.25</x:v>
      </x:c>
      <x:c r="O267" s="23" t="str">
        <x:v>positive</x:v>
      </x:c>
      <x:c r="P267" s="23" t="str">
        <x:v>none</x:v>
      </x:c>
      <x:c r="Q267" s="23" t="str">
        <x:v>bearish</x:v>
      </x:c>
      <x:c r="R267" s="23" t="str">
        <x:v>—</x:v>
      </x:c>
      <x:c r="S267" s="23" t="str">
        <x:v>bullish</x:v>
      </x:c>
      <x:c r="T267" s="23" t="str">
        <x:v>bullish</x:v>
      </x:c>
      <x:c r="U267" s="23" t="str">
        <x:v>bullish</x:v>
      </x:c>
    </x:row>
    <x:row r="268">
      <x:c r="A268" s="23" t="n">
        <x:v>2254</x:v>
      </x:c>
      <x:c r="B268" s="23" t="str">
        <x:v>NVDA</x:v>
      </x:c>
      <x:c r="C268" s="53" t="n">
        <x:v>46231.79238425926</x:v>
      </x:c>
      <x:c r="D268" s="23" t="str">
        <x:v>StockSavvyShay</x:v>
      </x:c>
      <x:c r="E268" s="23" t="str">
        <x:v>bearish</x:v>
      </x:c>
      <x:c r="F268" s="34" t="n">
        <x:v>0.6</x:v>
      </x:c>
      <x:c r="G268" s="23" t="str">
        <x:v>needs_review</x:v>
      </x:c>
      <x:c r="H268" s="23" t="str">
        <x:v>근거만</x:v>
      </x:c>
      <x:c r="I268" s="23" t="str">
        <x:v>positive</x:v>
      </x:c>
      <x:c r="J268" s="23" t="n">
        <x:v>3</x:v>
      </x:c>
      <x:c r="K268" s="23" t="n">
        <x:v>1</x:v>
      </x:c>
      <x:c r="L268" s="23" t="n">
        <x:v>4</x:v>
      </x:c>
      <x:c r="M268" s="68" t="n">
        <x:v>0.75</x:v>
      </x:c>
      <x:c r="N268" s="68" t="n">
        <x:v>0.25</x:v>
      </x:c>
      <x:c r="O268" s="23" t="str">
        <x:v>positive</x:v>
      </x:c>
      <x:c r="P268" s="23" t="str">
        <x:v>none</x:v>
      </x:c>
      <x:c r="Q268" s="23" t="str">
        <x:v>bearish</x:v>
      </x:c>
      <x:c r="R268" s="23" t="str">
        <x:v>—</x:v>
      </x:c>
      <x:c r="S268" s="23" t="str">
        <x:v>bullish</x:v>
      </x:c>
      <x:c r="T268" s="23" t="str">
        <x:v>bullish</x:v>
      </x:c>
      <x:c r="U268" s="23" t="str">
        <x:v>bullish</x:v>
      </x:c>
    </x:row>
    <x:row r="269">
      <x:c r="A269" s="23" t="n">
        <x:v>2255</x:v>
      </x:c>
      <x:c r="B269" s="23" t="str">
        <x:v>NVDA</x:v>
      </x:c>
      <x:c r="C269" s="53" t="n">
        <x:v>46231.81869212963</x:v>
      </x:c>
      <x:c r="D269" s="23" t="str">
        <x:v>StockSavvyShay</x:v>
      </x:c>
      <x:c r="E269" s="23" t="str">
        <x:v>neutral</x:v>
      </x:c>
      <x:c r="F269" s="34" t="n">
        <x:v>0.7</x:v>
      </x:c>
      <x:c r="G269" s="23" t="str">
        <x:v>needs_review</x:v>
      </x:c>
      <x:c r="H269" s="23" t="str">
        <x:v>근거만</x:v>
      </x:c>
      <x:c r="I269" s="23" t="str">
        <x:v>positive</x:v>
      </x:c>
      <x:c r="J269" s="23" t="n">
        <x:v>3</x:v>
      </x:c>
      <x:c r="K269" s="23" t="n">
        <x:v>1</x:v>
      </x:c>
      <x:c r="L269" s="23" t="n">
        <x:v>4</x:v>
      </x:c>
      <x:c r="M269" s="68" t="n">
        <x:v>0.75</x:v>
      </x:c>
      <x:c r="N269" s="68" t="n">
        <x:v>0.25</x:v>
      </x:c>
      <x:c r="O269" s="23" t="str">
        <x:v>positive</x:v>
      </x:c>
      <x:c r="P269" s="23" t="str">
        <x:v>none</x:v>
      </x:c>
      <x:c r="Q269" s="23" t="str">
        <x:v>bearish</x:v>
      </x:c>
      <x:c r="R269" s="23" t="str">
        <x:v>—</x:v>
      </x:c>
      <x:c r="S269" s="23" t="str">
        <x:v>bullish</x:v>
      </x:c>
      <x:c r="T269" s="23" t="str">
        <x:v>bullish</x:v>
      </x:c>
      <x:c r="U269" s="23" t="str">
        <x:v>bullish</x:v>
      </x:c>
    </x:row>
    <x:row r="270">
      <x:c r="A270" s="23" t="n">
        <x:v>2315</x:v>
      </x:c>
      <x:c r="B270" s="23" t="str">
        <x:v>NVDA</x:v>
      </x:c>
      <x:c r="C270" s="53" t="n">
        <x:v>46232.47813657407</x:v>
      </x:c>
      <x:c r="D270" s="23" t="str">
        <x:v>StockSavvyShay</x:v>
      </x:c>
      <x:c r="E270" s="23" t="str">
        <x:v>bullish</x:v>
      </x:c>
      <x:c r="F270" s="34" t="n">
        <x:v>0.8</x:v>
      </x:c>
      <x:c r="G270" s="23" t="str">
        <x:v>auto</x:v>
      </x:c>
      <x:c r="H270" s="23" t="str">
        <x:v>vote 변경</x:v>
      </x:c>
      <x:c r="I270" s="23" t="str">
        <x:v>positive</x:v>
      </x:c>
      <x:c r="J270" s="23" t="n">
        <x:v>3</x:v>
      </x:c>
      <x:c r="K270" s="23" t="n">
        <x:v>1</x:v>
      </x:c>
      <x:c r="L270" s="23" t="n">
        <x:v>4</x:v>
      </x:c>
      <x:c r="M270" s="68" t="n">
        <x:v>0.75</x:v>
      </x:c>
      <x:c r="N270" s="68" t="n">
        <x:v>0.25</x:v>
      </x:c>
      <x:c r="O270" s="23" t="str">
        <x:v>positive</x:v>
      </x:c>
      <x:c r="P270" s="23" t="str">
        <x:v>none</x:v>
      </x:c>
      <x:c r="Q270" s="23" t="str">
        <x:v>bearish</x:v>
      </x:c>
      <x:c r="R270" s="23" t="str">
        <x:v>—</x:v>
      </x:c>
      <x:c r="S270" s="23" t="str">
        <x:v>bullish</x:v>
      </x:c>
      <x:c r="T270" s="23" t="str">
        <x:v>bullish</x:v>
      </x:c>
      <x:c r="U270" s="23" t="str">
        <x:v>bullish</x:v>
      </x:c>
    </x:row>
    <x:row r="271">
      <x:c r="A271" s="23" t="n">
        <x:v>2340</x:v>
      </x:c>
      <x:c r="B271" s="23" t="str">
        <x:v>NVDA</x:v>
      </x:c>
      <x:c r="C271" s="53" t="n">
        <x:v>46232.70659722222</x:v>
      </x:c>
      <x:c r="D271" s="23" t="str">
        <x:v>Beth_Kindig</x:v>
      </x:c>
      <x:c r="E271" s="23" t="str">
        <x:v>bullish</x:v>
      </x:c>
      <x:c r="F271" s="34" t="n">
        <x:v>0.7</x:v>
      </x:c>
      <x:c r="G271" s="23" t="str">
        <x:v>needs_review</x:v>
      </x:c>
      <x:c r="H271" s="23" t="str">
        <x:v>근거만</x:v>
      </x:c>
      <x:c r="I271" s="23" t="str">
        <x:v>positive</x:v>
      </x:c>
      <x:c r="J271" s="23" t="n">
        <x:v>3</x:v>
      </x:c>
      <x:c r="K271" s="23" t="n">
        <x:v>1</x:v>
      </x:c>
      <x:c r="L271" s="23" t="n">
        <x:v>4</x:v>
      </x:c>
      <x:c r="M271" s="68" t="n">
        <x:v>0.75</x:v>
      </x:c>
      <x:c r="N271" s="68" t="n">
        <x:v>0.25</x:v>
      </x:c>
      <x:c r="O271" s="23" t="str">
        <x:v>positive</x:v>
      </x:c>
      <x:c r="P271" s="23" t="str">
        <x:v>none</x:v>
      </x:c>
      <x:c r="Q271" s="23" t="str">
        <x:v>bearish</x:v>
      </x:c>
      <x:c r="R271" s="23" t="str">
        <x:v>—</x:v>
      </x:c>
      <x:c r="S271" s="23" t="str">
        <x:v>bullish</x:v>
      </x:c>
      <x:c r="T271" s="23" t="str">
        <x:v>bullish</x:v>
      </x:c>
      <x:c r="U271" s="23" t="str">
        <x:v>bullish</x:v>
      </x:c>
    </x:row>
    <x:row r="272">
      <x:c r="A272" s="23" t="n">
        <x:v>2363</x:v>
      </x:c>
      <x:c r="B272" s="23" t="str">
        <x:v>NVDA</x:v>
      </x:c>
      <x:c r="C272" s="53" t="n">
        <x:v>46232.78581018518</x:v>
      </x:c>
      <x:c r="D272" s="23" t="str">
        <x:v>Beth_Kindig</x:v>
      </x:c>
      <x:c r="E272" s="23" t="str">
        <x:v>neutral</x:v>
      </x:c>
      <x:c r="F272" s="34" t="n">
        <x:v>0.5</x:v>
      </x:c>
      <x:c r="G272" s="23" t="str">
        <x:v>needs_review</x:v>
      </x:c>
      <x:c r="H272" s="23" t="str">
        <x:v>근거만</x:v>
      </x:c>
      <x:c r="I272" s="23" t="str">
        <x:v>positive</x:v>
      </x:c>
      <x:c r="J272" s="23" t="n">
        <x:v>3</x:v>
      </x:c>
      <x:c r="K272" s="23" t="n">
        <x:v>1</x:v>
      </x:c>
      <x:c r="L272" s="23" t="n">
        <x:v>4</x:v>
      </x:c>
      <x:c r="M272" s="68" t="n">
        <x:v>0.75</x:v>
      </x:c>
      <x:c r="N272" s="68" t="n">
        <x:v>0.25</x:v>
      </x:c>
      <x:c r="O272" s="23" t="str">
        <x:v>positive</x:v>
      </x:c>
      <x:c r="P272" s="23" t="str">
        <x:v>none</x:v>
      </x:c>
      <x:c r="Q272" s="23" t="str">
        <x:v>bearish</x:v>
      </x:c>
      <x:c r="R272" s="23" t="str">
        <x:v>—</x:v>
      </x:c>
      <x:c r="S272" s="23" t="str">
        <x:v>bullish</x:v>
      </x:c>
      <x:c r="T272" s="23" t="str">
        <x:v>bullish</x:v>
      </x:c>
      <x:c r="U272" s="23" t="str">
        <x:v>bullish</x:v>
      </x:c>
    </x:row>
    <x:row r="273">
      <x:c r="A273" s="23" t="n">
        <x:v>2371</x:v>
      </x:c>
      <x:c r="B273" s="23" t="str">
        <x:v>NVDA</x:v>
      </x:c>
      <x:c r="C273" s="53" t="n">
        <x:v>46232.81112268518</x:v>
      </x:c>
      <x:c r="D273" s="23" t="str">
        <x:v>StockSavvyShay</x:v>
      </x:c>
      <x:c r="E273" s="23" t="str">
        <x:v>neutral</x:v>
      </x:c>
      <x:c r="F273" s="34" t="n">
        <x:v>0</x:v>
      </x:c>
      <x:c r="G273" s="23" t="str">
        <x:v>needs_review</x:v>
      </x:c>
      <x:c r="H273" s="23" t="str">
        <x:v>근거만</x:v>
      </x:c>
      <x:c r="I273" s="23" t="str">
        <x:v>positive</x:v>
      </x:c>
      <x:c r="J273" s="23" t="n">
        <x:v>3</x:v>
      </x:c>
      <x:c r="K273" s="23" t="n">
        <x:v>1</x:v>
      </x:c>
      <x:c r="L273" s="23" t="n">
        <x:v>4</x:v>
      </x:c>
      <x:c r="M273" s="68" t="n">
        <x:v>0.75</x:v>
      </x:c>
      <x:c r="N273" s="68" t="n">
        <x:v>0.25</x:v>
      </x:c>
      <x:c r="O273" s="23" t="str">
        <x:v>positive</x:v>
      </x:c>
      <x:c r="P273" s="23" t="str">
        <x:v>none</x:v>
      </x:c>
      <x:c r="Q273" s="23" t="str">
        <x:v>bearish</x:v>
      </x:c>
      <x:c r="R273" s="23" t="str">
        <x:v>—</x:v>
      </x:c>
      <x:c r="S273" s="23" t="str">
        <x:v>bullish</x:v>
      </x:c>
      <x:c r="T273" s="23" t="str">
        <x:v>bullish</x:v>
      </x:c>
      <x:c r="U273" s="23" t="str">
        <x:v>bullish</x:v>
      </x:c>
    </x:row>
    <x:row r="274">
      <x:c r="A274" s="23" t="n">
        <x:v>2457</x:v>
      </x:c>
      <x:c r="B274" s="23" t="str">
        <x:v>NVDA</x:v>
      </x:c>
      <x:c r="C274" s="53" t="n">
        <x:v>46232.957453703704</x:v>
      </x:c>
      <x:c r="D274" s="23" t="str">
        <x:v>Beth_Kindig</x:v>
      </x:c>
      <x:c r="E274" s="23" t="str">
        <x:v>bullish</x:v>
      </x:c>
      <x:c r="F274" s="34" t="n">
        <x:v>0.8</x:v>
      </x:c>
      <x:c r="G274" s="23" t="str">
        <x:v>auto</x:v>
      </x:c>
      <x:c r="H274" s="23" t="str">
        <x:v>vote 변경</x:v>
      </x:c>
      <x:c r="I274" s="23" t="str">
        <x:v>positive</x:v>
      </x:c>
      <x:c r="J274" s="23" t="n">
        <x:v>4</x:v>
      </x:c>
      <x:c r="K274" s="23" t="n">
        <x:v>0</x:v>
      </x:c>
      <x:c r="L274" s="23" t="n">
        <x:v>4</x:v>
      </x:c>
      <x:c r="M274" s="68" t="n">
        <x:v>1</x:v>
      </x:c>
      <x:c r="N274" s="68" t="n">
        <x:v>0</x:v>
      </x:c>
      <x:c r="O274" s="23" t="str">
        <x:v>positive</x:v>
      </x:c>
      <x:c r="P274" s="23" t="str">
        <x:v>none</x:v>
      </x:c>
      <x:c r="Q274" s="23" t="str">
        <x:v>bullish</x:v>
      </x:c>
      <x:c r="R274" s="23" t="str">
        <x:v>—</x:v>
      </x:c>
      <x:c r="S274" s="23" t="str">
        <x:v>bullish</x:v>
      </x:c>
      <x:c r="T274" s="23" t="str">
        <x:v>bullish</x:v>
      </x:c>
      <x:c r="U274" s="23" t="str">
        <x:v>bullish</x:v>
      </x:c>
    </x:row>
    <x:row r="275">
      <x:c r="A275" s="23" t="n">
        <x:v>2473</x:v>
      </x:c>
      <x:c r="B275" s="23" t="str">
        <x:v>NVDA</x:v>
      </x:c>
      <x:c r="C275" s="53" t="n">
        <x:v>46232.99167824074</x:v>
      </x:c>
      <x:c r="D275" s="23" t="str">
        <x:v>StockMKTNewz</x:v>
      </x:c>
      <x:c r="E275" s="23" t="str">
        <x:v>neutral</x:v>
      </x:c>
      <x:c r="F275" s="34" t="n">
        <x:v>0.9</x:v>
      </x:c>
      <x:c r="G275" s="23" t="str">
        <x:v>auto</x:v>
      </x:c>
      <x:c r="H275" s="23" t="str">
        <x:v>근거만</x:v>
      </x:c>
      <x:c r="I275" s="23" t="str">
        <x:v>positive</x:v>
      </x:c>
      <x:c r="J275" s="23" t="n">
        <x:v>4</x:v>
      </x:c>
      <x:c r="K275" s="23" t="n">
        <x:v>0</x:v>
      </x:c>
      <x:c r="L275" s="23" t="n">
        <x:v>4</x:v>
      </x:c>
      <x:c r="M275" s="68" t="n">
        <x:v>1</x:v>
      </x:c>
      <x:c r="N275" s="68" t="n">
        <x:v>0</x:v>
      </x:c>
      <x:c r="O275" s="23" t="str">
        <x:v>positive</x:v>
      </x:c>
      <x:c r="P275" s="23" t="str">
        <x:v>none</x:v>
      </x:c>
      <x:c r="Q275" s="23" t="str">
        <x:v>bullish</x:v>
      </x:c>
      <x:c r="R275" s="23" t="str">
        <x:v>—</x:v>
      </x:c>
      <x:c r="S275" s="23" t="str">
        <x:v>bullish</x:v>
      </x:c>
      <x:c r="T275" s="23" t="str">
        <x:v>bullish</x:v>
      </x:c>
      <x:c r="U275" s="23" t="str">
        <x:v>bullish</x:v>
      </x:c>
    </x:row>
    <x:row r="276">
      <x:c r="A276" s="23" t="n">
        <x:v>2519</x:v>
      </x:c>
      <x:c r="B276" s="23" t="str">
        <x:v>NVDA</x:v>
      </x:c>
      <x:c r="C276" s="53" t="n">
        <x:v>46233.50929398148</x:v>
      </x:c>
      <x:c r="D276" s="23" t="str">
        <x:v>StockSavvyShay</x:v>
      </x:c>
      <x:c r="E276" s="23" t="str">
        <x:v>neutral</x:v>
      </x:c>
      <x:c r="F276" s="34" t="n">
        <x:v>0.8</x:v>
      </x:c>
      <x:c r="G276" s="23" t="str">
        <x:v>auto</x:v>
      </x:c>
      <x:c r="H276" s="23" t="str">
        <x:v>근거만</x:v>
      </x:c>
      <x:c r="I276" s="23" t="str">
        <x:v>positive</x:v>
      </x:c>
      <x:c r="J276" s="23" t="n">
        <x:v>4</x:v>
      </x:c>
      <x:c r="K276" s="23" t="n">
        <x:v>0</x:v>
      </x:c>
      <x:c r="L276" s="23" t="n">
        <x:v>4</x:v>
      </x:c>
      <x:c r="M276" s="68" t="n">
        <x:v>1</x:v>
      </x:c>
      <x:c r="N276" s="68" t="n">
        <x:v>0</x:v>
      </x:c>
      <x:c r="O276" s="23" t="str">
        <x:v>positive</x:v>
      </x:c>
      <x:c r="P276" s="23" t="str">
        <x:v>none</x:v>
      </x:c>
      <x:c r="Q276" s="23" t="str">
        <x:v>bullish</x:v>
      </x:c>
      <x:c r="R276" s="23" t="str">
        <x:v>—</x:v>
      </x:c>
      <x:c r="S276" s="23" t="str">
        <x:v>bullish</x:v>
      </x:c>
      <x:c r="T276" s="23" t="str">
        <x:v>bullish</x:v>
      </x:c>
      <x:c r="U276" s="23" t="str">
        <x:v>bullish</x:v>
      </x:c>
    </x:row>
    <x:row r="277">
      <x:c r="A277" s="23" t="n">
        <x:v>2537</x:v>
      </x:c>
      <x:c r="B277" s="23" t="str">
        <x:v>NVDA</x:v>
      </x:c>
      <x:c r="C277" s="53" t="n">
        <x:v>46233.55427083333</x:v>
      </x:c>
      <x:c r="D277" s="23" t="str">
        <x:v>StockSavvyShay</x:v>
      </x:c>
      <x:c r="E277" s="23" t="str">
        <x:v>neutral</x:v>
      </x:c>
      <x:c r="F277" s="34" t="n">
        <x:v>0.5</x:v>
      </x:c>
      <x:c r="G277" s="23" t="str">
        <x:v>needs_review</x:v>
      </x:c>
      <x:c r="H277" s="23" t="str">
        <x:v>근거만</x:v>
      </x:c>
      <x:c r="I277" s="23" t="str">
        <x:v>positive</x:v>
      </x:c>
      <x:c r="J277" s="23" t="n">
        <x:v>4</x:v>
      </x:c>
      <x:c r="K277" s="23" t="n">
        <x:v>0</x:v>
      </x:c>
      <x:c r="L277" s="23" t="n">
        <x:v>4</x:v>
      </x:c>
      <x:c r="M277" s="68" t="n">
        <x:v>1</x:v>
      </x:c>
      <x:c r="N277" s="68" t="n">
        <x:v>0</x:v>
      </x:c>
      <x:c r="O277" s="23" t="str">
        <x:v>positive</x:v>
      </x:c>
      <x:c r="P277" s="23" t="str">
        <x:v>none</x:v>
      </x:c>
      <x:c r="Q277" s="23" t="str">
        <x:v>bullish</x:v>
      </x:c>
      <x:c r="R277" s="23" t="str">
        <x:v>—</x:v>
      </x:c>
      <x:c r="S277" s="23" t="str">
        <x:v>bullish</x:v>
      </x:c>
      <x:c r="T277" s="23" t="str">
        <x:v>bullish</x:v>
      </x:c>
      <x:c r="U277" s="23" t="str">
        <x:v>bullish</x:v>
      </x:c>
    </x:row>
    <x:row r="278">
      <x:c r="A278" s="23" t="n">
        <x:v>2582</x:v>
      </x:c>
      <x:c r="B278" s="23" t="str">
        <x:v>NVDA</x:v>
      </x:c>
      <x:c r="C278" s="53" t="n">
        <x:v>46233.73502314815</x:v>
      </x:c>
      <x:c r="D278" s="23" t="str">
        <x:v>StockSavvyShay</x:v>
      </x:c>
      <x:c r="E278" s="23" t="str">
        <x:v>bullish</x:v>
      </x:c>
      <x:c r="F278" s="34" t="n">
        <x:v>0.8</x:v>
      </x:c>
      <x:c r="G278" s="23" t="str">
        <x:v>auto</x:v>
      </x:c>
      <x:c r="H278" s="23" t="str">
        <x:v>vote 변경</x:v>
      </x:c>
      <x:c r="I278" s="23" t="str">
        <x:v>positive</x:v>
      </x:c>
      <x:c r="J278" s="23" t="n">
        <x:v>4</x:v>
      </x:c>
      <x:c r="K278" s="23" t="n">
        <x:v>0</x:v>
      </x:c>
      <x:c r="L278" s="23" t="n">
        <x:v>4</x:v>
      </x:c>
      <x:c r="M278" s="68" t="n">
        <x:v>1</x:v>
      </x:c>
      <x:c r="N278" s="68" t="n">
        <x:v>0</x:v>
      </x:c>
      <x:c r="O278" s="23" t="str">
        <x:v>positive</x:v>
      </x:c>
      <x:c r="P278" s="23" t="str">
        <x:v>none</x:v>
      </x:c>
      <x:c r="Q278" s="23" t="str">
        <x:v>bullish</x:v>
      </x:c>
      <x:c r="R278" s="23" t="str">
        <x:v>—</x:v>
      </x:c>
      <x:c r="S278" s="23" t="str">
        <x:v>bullish</x:v>
      </x:c>
      <x:c r="T278" s="23" t="str">
        <x:v>bullish</x:v>
      </x:c>
      <x:c r="U278" s="23" t="str">
        <x:v>bullish</x:v>
      </x:c>
    </x:row>
    <x:row r="279">
      <x:c r="A279" s="23" t="n">
        <x:v>2585</x:v>
      </x:c>
      <x:c r="B279" s="23" t="str">
        <x:v>NVDA</x:v>
      </x:c>
      <x:c r="C279" s="53" t="n">
        <x:v>46233.73793981481</x:v>
      </x:c>
      <x:c r="D279" s="23" t="str">
        <x:v>Beth_Kindig</x:v>
      </x:c>
      <x:c r="E279" s="23" t="str">
        <x:v>bullish</x:v>
      </x:c>
      <x:c r="F279" s="34" t="n">
        <x:v>0.7</x:v>
      </x:c>
      <x:c r="G279" s="23" t="str">
        <x:v>needs_review</x:v>
      </x:c>
      <x:c r="H279" s="23" t="str">
        <x:v>근거만</x:v>
      </x:c>
      <x:c r="I279" s="23" t="str">
        <x:v>positive</x:v>
      </x:c>
      <x:c r="J279" s="23" t="n">
        <x:v>4</x:v>
      </x:c>
      <x:c r="K279" s="23" t="n">
        <x:v>0</x:v>
      </x:c>
      <x:c r="L279" s="23" t="n">
        <x:v>4</x:v>
      </x:c>
      <x:c r="M279" s="68" t="n">
        <x:v>1</x:v>
      </x:c>
      <x:c r="N279" s="68" t="n">
        <x:v>0</x:v>
      </x:c>
      <x:c r="O279" s="23" t="str">
        <x:v>positive</x:v>
      </x:c>
      <x:c r="P279" s="23" t="str">
        <x:v>none</x:v>
      </x:c>
      <x:c r="Q279" s="23" t="str">
        <x:v>bullish</x:v>
      </x:c>
      <x:c r="R279" s="23" t="str">
        <x:v>—</x:v>
      </x:c>
      <x:c r="S279" s="23" t="str">
        <x:v>bullish</x:v>
      </x:c>
      <x:c r="T279" s="23" t="str">
        <x:v>bullish</x:v>
      </x:c>
      <x:c r="U279" s="23" t="str">
        <x:v>bullish</x:v>
      </x:c>
    </x:row>
    <x:row r="280">
      <x:c r="A280" s="23" t="n">
        <x:v>2603</x:v>
      </x:c>
      <x:c r="B280" s="23" t="str">
        <x:v>NVDA</x:v>
      </x:c>
      <x:c r="C280" s="53" t="n">
        <x:v>46233.84525462963</x:v>
      </x:c>
      <x:c r="D280" s="23" t="str">
        <x:v>StockSavvyShay</x:v>
      </x:c>
      <x:c r="E280" s="23" t="str">
        <x:v>bearish</x:v>
      </x:c>
      <x:c r="F280" s="34" t="n">
        <x:v>1</x:v>
      </x:c>
      <x:c r="G280" s="23" t="str">
        <x:v>auto</x:v>
      </x:c>
      <x:c r="H280" s="23" t="str">
        <x:v>vote 변경</x:v>
      </x:c>
      <x:c r="I280" s="23" t="str">
        <x:v>positive</x:v>
      </x:c>
      <x:c r="J280" s="23" t="n">
        <x:v>3</x:v>
      </x:c>
      <x:c r="K280" s="23" t="n">
        <x:v>1</x:v>
      </x:c>
      <x:c r="L280" s="23" t="n">
        <x:v>4</x:v>
      </x:c>
      <x:c r="M280" s="68" t="n">
        <x:v>0.75</x:v>
      </x:c>
      <x:c r="N280" s="68" t="n">
        <x:v>0.25</x:v>
      </x:c>
      <x:c r="O280" s="23" t="str">
        <x:v>positive</x:v>
      </x:c>
      <x:c r="P280" s="23" t="str">
        <x:v>none</x:v>
      </x:c>
      <x:c r="Q280" s="23" t="str">
        <x:v>bullish</x:v>
      </x:c>
      <x:c r="R280" s="23" t="str">
        <x:v>—</x:v>
      </x:c>
      <x:c r="S280" s="23" t="str">
        <x:v>bullish</x:v>
      </x:c>
      <x:c r="T280" s="23" t="str">
        <x:v>bearish</x:v>
      </x:c>
      <x:c r="U280" s="23" t="str">
        <x:v>bullish</x:v>
      </x:c>
    </x:row>
    <x:row r="281">
      <x:c r="A281" s="23" t="n">
        <x:v>2687</x:v>
      </x:c>
      <x:c r="B281" s="23" t="str">
        <x:v>NVDA</x:v>
      </x:c>
      <x:c r="C281" s="53" t="n">
        <x:v>46234.51650462963</x:v>
      </x:c>
      <x:c r="D281" s="23" t="str">
        <x:v>StockMKTNewz</x:v>
      </x:c>
      <x:c r="E281" s="23" t="str">
        <x:v>neutral</x:v>
      </x:c>
      <x:c r="F281" s="34" t="n">
        <x:v>0.8</x:v>
      </x:c>
      <x:c r="G281" s="23" t="str">
        <x:v>auto</x:v>
      </x:c>
      <x:c r="H281" s="23" t="str">
        <x:v>근거만</x:v>
      </x:c>
      <x:c r="I281" s="23" t="str">
        <x:v>positive</x:v>
      </x:c>
      <x:c r="J281" s="23" t="n">
        <x:v>3</x:v>
      </x:c>
      <x:c r="K281" s="23" t="n">
        <x:v>1</x:v>
      </x:c>
      <x:c r="L281" s="23" t="n">
        <x:v>4</x:v>
      </x:c>
      <x:c r="M281" s="68" t="n">
        <x:v>0.75</x:v>
      </x:c>
      <x:c r="N281" s="68" t="n">
        <x:v>0.25</x:v>
      </x:c>
      <x:c r="O281" s="23" t="str">
        <x:v>positive</x:v>
      </x:c>
      <x:c r="P281" s="23" t="str">
        <x:v>none</x:v>
      </x:c>
      <x:c r="Q281" s="23" t="str">
        <x:v>bullish</x:v>
      </x:c>
      <x:c r="R281" s="23" t="str">
        <x:v>—</x:v>
      </x:c>
      <x:c r="S281" s="23" t="str">
        <x:v>bullish</x:v>
      </x:c>
      <x:c r="T281" s="23" t="str">
        <x:v>bearish</x:v>
      </x:c>
      <x:c r="U281" s="23" t="str">
        <x:v>bullish</x:v>
      </x:c>
    </x:row>
    <x:row r="282">
      <x:c r="A282" s="23" t="n">
        <x:v>2682</x:v>
      </x:c>
      <x:c r="B282" s="23" t="str">
        <x:v>NVDA</x:v>
      </x:c>
      <x:c r="C282" s="53" t="n">
        <x:v>46234.51851851852</x:v>
      </x:c>
      <x:c r="D282" s="23" t="str">
        <x:v>StockSavvyShay</x:v>
      </x:c>
      <x:c r="E282" s="23" t="str">
        <x:v>neutral</x:v>
      </x:c>
      <x:c r="F282" s="34" t="n">
        <x:v>0.5</x:v>
      </x:c>
      <x:c r="G282" s="23" t="str">
        <x:v>needs_review</x:v>
      </x:c>
      <x:c r="H282" s="23" t="str">
        <x:v>근거만</x:v>
      </x:c>
      <x:c r="I282" s="23" t="str">
        <x:v>positive</x:v>
      </x:c>
      <x:c r="J282" s="23" t="n">
        <x:v>3</x:v>
      </x:c>
      <x:c r="K282" s="23" t="n">
        <x:v>1</x:v>
      </x:c>
      <x:c r="L282" s="23" t="n">
        <x:v>4</x:v>
      </x:c>
      <x:c r="M282" s="68" t="n">
        <x:v>0.75</x:v>
      </x:c>
      <x:c r="N282" s="68" t="n">
        <x:v>0.25</x:v>
      </x:c>
      <x:c r="O282" s="23" t="str">
        <x:v>positive</x:v>
      </x:c>
      <x:c r="P282" s="23" t="str">
        <x:v>none</x:v>
      </x:c>
      <x:c r="Q282" s="23" t="str">
        <x:v>bullish</x:v>
      </x:c>
      <x:c r="R282" s="23" t="str">
        <x:v>—</x:v>
      </x:c>
      <x:c r="S282" s="23" t="str">
        <x:v>bullish</x:v>
      </x:c>
      <x:c r="T282" s="23" t="str">
        <x:v>bearish</x:v>
      </x:c>
      <x:c r="U282" s="23" t="str">
        <x:v>bullish</x:v>
      </x:c>
    </x:row>
    <x:row r="283">
      <x:c r="A283" s="23" t="n">
        <x:v>2686</x:v>
      </x:c>
      <x:c r="B283" s="23" t="str">
        <x:v>NVDA</x:v>
      </x:c>
      <x:c r="C283" s="53" t="n">
        <x:v>46234.52384259259</x:v>
      </x:c>
      <x:c r="D283" s="23" t="str">
        <x:v>StockSavvyShay</x:v>
      </x:c>
      <x:c r="E283" s="23" t="str">
        <x:v>bullish</x:v>
      </x:c>
      <x:c r="F283" s="34" t="n">
        <x:v>0.9</x:v>
      </x:c>
      <x:c r="G283" s="23" t="str">
        <x:v>auto</x:v>
      </x:c>
      <x:c r="H283" s="23" t="str">
        <x:v>vote 변경</x:v>
      </x:c>
      <x:c r="I283" s="23" t="str">
        <x:v>positive</x:v>
      </x:c>
      <x:c r="J283" s="23" t="n">
        <x:v>4</x:v>
      </x:c>
      <x:c r="K283" s="23" t="n">
        <x:v>0</x:v>
      </x:c>
      <x:c r="L283" s="23" t="n">
        <x:v>4</x:v>
      </x:c>
      <x:c r="M283" s="68" t="n">
        <x:v>1</x:v>
      </x:c>
      <x:c r="N283" s="68" t="n">
        <x:v>0</x:v>
      </x:c>
      <x:c r="O283" s="23" t="str">
        <x:v>positive</x:v>
      </x:c>
      <x:c r="P283" s="23" t="str">
        <x:v>none</x:v>
      </x:c>
      <x:c r="Q283" s="23" t="str">
        <x:v>bullish</x:v>
      </x:c>
      <x:c r="R283" s="23" t="str">
        <x:v>—</x:v>
      </x:c>
      <x:c r="S283" s="23" t="str">
        <x:v>bullish</x:v>
      </x:c>
      <x:c r="T283" s="23" t="str">
        <x:v>bullish</x:v>
      </x:c>
      <x:c r="U283" s="23" t="str">
        <x:v>bullish</x:v>
      </x:c>
    </x:row>
    <x:row r="284">
      <x:c r="A284" s="23" t="n">
        <x:v>2688</x:v>
      </x:c>
      <x:c r="B284" s="23" t="str">
        <x:v>NVDA</x:v>
      </x:c>
      <x:c r="C284" s="53" t="n">
        <x:v>46234.5381712963</x:v>
      </x:c>
      <x:c r="D284" s="23" t="str">
        <x:v>StockSavvyShay</x:v>
      </x:c>
      <x:c r="E284" s="23" t="str">
        <x:v>bullish</x:v>
      </x:c>
      <x:c r="F284" s="34" t="n">
        <x:v>0.8</x:v>
      </x:c>
      <x:c r="G284" s="23" t="str">
        <x:v>auto</x:v>
      </x:c>
      <x:c r="H284" s="23" t="str">
        <x:v>vote 변경</x:v>
      </x:c>
      <x:c r="I284" s="23" t="str">
        <x:v>positive</x:v>
      </x:c>
      <x:c r="J284" s="23" t="n">
        <x:v>4</x:v>
      </x:c>
      <x:c r="K284" s="23" t="n">
        <x:v>0</x:v>
      </x:c>
      <x:c r="L284" s="23" t="n">
        <x:v>4</x:v>
      </x:c>
      <x:c r="M284" s="68" t="n">
        <x:v>1</x:v>
      </x:c>
      <x:c r="N284" s="68" t="n">
        <x:v>0</x:v>
      </x:c>
      <x:c r="O284" s="23" t="str">
        <x:v>positive</x:v>
      </x:c>
      <x:c r="P284" s="23" t="str">
        <x:v>none</x:v>
      </x:c>
      <x:c r="Q284" s="23" t="str">
        <x:v>bullish</x:v>
      </x:c>
      <x:c r="R284" s="23" t="str">
        <x:v>—</x:v>
      </x:c>
      <x:c r="S284" s="23" t="str">
        <x:v>bullish</x:v>
      </x:c>
      <x:c r="T284" s="23" t="str">
        <x:v>bullish</x:v>
      </x:c>
      <x:c r="U284" s="23" t="str">
        <x:v>bullish</x:v>
      </x:c>
    </x:row>
    <x:row r="285">
      <x:c r="A285" s="23" t="n">
        <x:v>2694</x:v>
      </x:c>
      <x:c r="B285" s="23" t="str">
        <x:v>NVDA</x:v>
      </x:c>
      <x:c r="C285" s="53" t="n">
        <x:v>46234.59465277778</x:v>
      </x:c>
      <x:c r="D285" s="23" t="str">
        <x:v>StockMKTNewz</x:v>
      </x:c>
      <x:c r="E285" s="23" t="str">
        <x:v>neutral</x:v>
      </x:c>
      <x:c r="F285" s="34" t="n">
        <x:v>0.8</x:v>
      </x:c>
      <x:c r="G285" s="23" t="str">
        <x:v>auto</x:v>
      </x:c>
      <x:c r="H285" s="23" t="str">
        <x:v>근거만</x:v>
      </x:c>
      <x:c r="I285" s="23" t="str">
        <x:v>positive</x:v>
      </x:c>
      <x:c r="J285" s="23" t="n">
        <x:v>4</x:v>
      </x:c>
      <x:c r="K285" s="23" t="n">
        <x:v>0</x:v>
      </x:c>
      <x:c r="L285" s="23" t="n">
        <x:v>4</x:v>
      </x:c>
      <x:c r="M285" s="68" t="n">
        <x:v>1</x:v>
      </x:c>
      <x:c r="N285" s="68" t="n">
        <x:v>0</x:v>
      </x:c>
      <x:c r="O285" s="23" t="str">
        <x:v>positive</x:v>
      </x:c>
      <x:c r="P285" s="23" t="str">
        <x:v>none</x:v>
      </x:c>
      <x:c r="Q285" s="23" t="str">
        <x:v>bullish</x:v>
      </x:c>
      <x:c r="R285" s="23" t="str">
        <x:v>—</x:v>
      </x:c>
      <x:c r="S285" s="23" t="str">
        <x:v>bullish</x:v>
      </x:c>
      <x:c r="T285" s="23" t="str">
        <x:v>bullish</x:v>
      </x:c>
      <x:c r="U285" s="23" t="str">
        <x:v>bullish</x:v>
      </x:c>
    </x:row>
    <x:row r="286">
      <x:c r="A286" s="23" t="n">
        <x:v>2707</x:v>
      </x:c>
      <x:c r="B286" s="23" t="str">
        <x:v>NVDA</x:v>
      </x:c>
      <x:c r="C286" s="53" t="n">
        <x:v>46234.68331018519</x:v>
      </x:c>
      <x:c r="D286" s="23" t="str">
        <x:v>Beth_Kindig</x:v>
      </x:c>
      <x:c r="E286" s="23" t="str">
        <x:v>bullish</x:v>
      </x:c>
      <x:c r="F286" s="34" t="n">
        <x:v>0.6</x:v>
      </x:c>
      <x:c r="G286" s="23" t="str">
        <x:v>needs_review</x:v>
      </x:c>
      <x:c r="H286" s="23" t="str">
        <x:v>근거만</x:v>
      </x:c>
      <x:c r="I286" s="23" t="str">
        <x:v>positive</x:v>
      </x:c>
      <x:c r="J286" s="23" t="n">
        <x:v>4</x:v>
      </x:c>
      <x:c r="K286" s="23" t="n">
        <x:v>0</x:v>
      </x:c>
      <x:c r="L286" s="23" t="n">
        <x:v>4</x:v>
      </x:c>
      <x:c r="M286" s="68" t="n">
        <x:v>1</x:v>
      </x:c>
      <x:c r="N286" s="68" t="n">
        <x:v>0</x:v>
      </x:c>
      <x:c r="O286" s="23" t="str">
        <x:v>positive</x:v>
      </x:c>
      <x:c r="P286" s="23" t="str">
        <x:v>none</x:v>
      </x:c>
      <x:c r="Q286" s="23" t="str">
        <x:v>bullish</x:v>
      </x:c>
      <x:c r="R286" s="23" t="str">
        <x:v>—</x:v>
      </x:c>
      <x:c r="S286" s="23" t="str">
        <x:v>bullish</x:v>
      </x:c>
      <x:c r="T286" s="23" t="str">
        <x:v>bullish</x:v>
      </x:c>
      <x:c r="U286" s="23" t="str">
        <x:v>bullish</x:v>
      </x:c>
    </x:row>
    <x:row r="287">
      <x:c r="A287" s="23" t="n">
        <x:v>2726</x:v>
      </x:c>
      <x:c r="B287" s="23" t="str">
        <x:v>NVDA</x:v>
      </x:c>
      <x:c r="C287" s="53" t="n">
        <x:v>46234.80297453704</x:v>
      </x:c>
      <x:c r="D287" s="23" t="str">
        <x:v>aleabitoreddit</x:v>
      </x:c>
      <x:c r="E287" s="23" t="str">
        <x:v>bullish</x:v>
      </x:c>
      <x:c r="F287" s="34" t="n">
        <x:v>0.8</x:v>
      </x:c>
      <x:c r="G287" s="23" t="str">
        <x:v>auto</x:v>
      </x:c>
      <x:c r="H287" s="23" t="str">
        <x:v>vote 변경</x:v>
      </x:c>
      <x:c r="I287" s="23" t="str">
        <x:v>positive</x:v>
      </x:c>
      <x:c r="J287" s="23" t="n">
        <x:v>4</x:v>
      </x:c>
      <x:c r="K287" s="23" t="n">
        <x:v>0</x:v>
      </x:c>
      <x:c r="L287" s="23" t="n">
        <x:v>4</x:v>
      </x:c>
      <x:c r="M287" s="68" t="n">
        <x:v>1</x:v>
      </x:c>
      <x:c r="N287" s="68" t="n">
        <x:v>0</x:v>
      </x:c>
      <x:c r="O287" s="23" t="str">
        <x:v>positive</x:v>
      </x:c>
      <x:c r="P287" s="23" t="str">
        <x:v>none</x:v>
      </x:c>
      <x:c r="Q287" s="23" t="str">
        <x:v>bullish</x:v>
      </x:c>
      <x:c r="R287" s="23" t="str">
        <x:v>—</x:v>
      </x:c>
      <x:c r="S287" s="23" t="str">
        <x:v>bullish</x:v>
      </x:c>
      <x:c r="T287" s="23" t="str">
        <x:v>bullish</x:v>
      </x:c>
      <x:c r="U287" s="23" t="str">
        <x:v>bullish</x:v>
      </x:c>
    </x:row>
    <x:row r="288">
      <x:c r="A288" s="23" t="n">
        <x:v>2735</x:v>
      </x:c>
      <x:c r="B288" s="23" t="str">
        <x:v>NVDA</x:v>
      </x:c>
      <x:c r="C288" s="53" t="n">
        <x:v>46234.81375</x:v>
      </x:c>
      <x:c r="D288" s="23" t="str">
        <x:v>aleabitoreddit</x:v>
      </x:c>
      <x:c r="E288" s="23" t="str">
        <x:v>neutral</x:v>
      </x:c>
      <x:c r="F288" s="34" t="n">
        <x:v>0.8</x:v>
      </x:c>
      <x:c r="G288" s="23" t="str">
        <x:v>auto</x:v>
      </x:c>
      <x:c r="H288" s="23" t="str">
        <x:v>근거만</x:v>
      </x:c>
      <x:c r="I288" s="23" t="str">
        <x:v>positive</x:v>
      </x:c>
      <x:c r="J288" s="23" t="n">
        <x:v>4</x:v>
      </x:c>
      <x:c r="K288" s="23" t="n">
        <x:v>0</x:v>
      </x:c>
      <x:c r="L288" s="23" t="n">
        <x:v>4</x:v>
      </x:c>
      <x:c r="M288" s="68" t="n">
        <x:v>1</x:v>
      </x:c>
      <x:c r="N288" s="68" t="n">
        <x:v>0</x:v>
      </x:c>
      <x:c r="O288" s="23" t="str">
        <x:v>positive</x:v>
      </x:c>
      <x:c r="P288" s="23" t="str">
        <x:v>none</x:v>
      </x:c>
      <x:c r="Q288" s="23" t="str">
        <x:v>bullish</x:v>
      </x:c>
      <x:c r="R288" s="23" t="str">
        <x:v>—</x:v>
      </x:c>
      <x:c r="S288" s="23" t="str">
        <x:v>bullish</x:v>
      </x:c>
      <x:c r="T288" s="23" t="str">
        <x:v>bullish</x:v>
      </x:c>
      <x:c r="U288" s="23" t="str">
        <x:v>bullish</x:v>
      </x:c>
    </x:row>
    <x:row r="289">
      <x:c r="A289" s="23" t="n">
        <x:v>2750</x:v>
      </x:c>
      <x:c r="B289" s="23" t="str">
        <x:v>NVDA</x:v>
      </x:c>
      <x:c r="C289" s="53" t="n">
        <x:v>46234.85293981482</x:v>
      </x:c>
      <x:c r="D289" s="23" t="str">
        <x:v>StockSavvyShay</x:v>
      </x:c>
      <x:c r="E289" s="23" t="str">
        <x:v>bullish</x:v>
      </x:c>
      <x:c r="F289" s="34" t="n">
        <x:v>0.7</x:v>
      </x:c>
      <x:c r="G289" s="23" t="str">
        <x:v>needs_review</x:v>
      </x:c>
      <x:c r="H289" s="23" t="str">
        <x:v>근거만</x:v>
      </x:c>
      <x:c r="I289" s="23" t="str">
        <x:v>positive</x:v>
      </x:c>
      <x:c r="J289" s="23" t="n">
        <x:v>4</x:v>
      </x:c>
      <x:c r="K289" s="23" t="n">
        <x:v>0</x:v>
      </x:c>
      <x:c r="L289" s="23" t="n">
        <x:v>4</x:v>
      </x:c>
      <x:c r="M289" s="68" t="n">
        <x:v>1</x:v>
      </x:c>
      <x:c r="N289" s="68" t="n">
        <x:v>0</x:v>
      </x:c>
      <x:c r="O289" s="23" t="str">
        <x:v>positive</x:v>
      </x:c>
      <x:c r="P289" s="23" t="str">
        <x:v>none</x:v>
      </x:c>
      <x:c r="Q289" s="23" t="str">
        <x:v>bullish</x:v>
      </x:c>
      <x:c r="R289" s="23" t="str">
        <x:v>—</x:v>
      </x:c>
      <x:c r="S289" s="23" t="str">
        <x:v>bullish</x:v>
      </x:c>
      <x:c r="T289" s="23" t="str">
        <x:v>bullish</x:v>
      </x:c>
      <x:c r="U289" s="23" t="str">
        <x:v>bullish</x:v>
      </x:c>
    </x:row>
    <x:row r="290">
      <x:c r="A290" s="23" t="n">
        <x:v>1152</x:v>
      </x:c>
      <x:c r="B290" s="23" t="str">
        <x:v>ASTS</x:v>
      </x:c>
      <x:c r="C290" s="53" t="n">
        <x:v>46172.566087962965</x:v>
      </x:c>
      <x:c r="D290" s="23" t="str">
        <x:v>StockSavvyShay</x:v>
      </x:c>
      <x:c r="E290" s="23" t="str">
        <x:v>bullish</x:v>
      </x:c>
      <x:c r="F290" s="34" t="n">
        <x:v>0.8</x:v>
      </x:c>
      <x:c r="G290" s="23" t="str">
        <x:v>auto</x:v>
      </x:c>
      <x:c r="H290" s="23" t="str">
        <x:v>vote 변경</x:v>
      </x:c>
      <x:c r="I290" s="23" t="str">
        <x:v>insufficient</x:v>
      </x:c>
      <x:c r="J290" s="23" t="n">
        <x:v>1</x:v>
      </x:c>
      <x:c r="K290" s="23" t="n">
        <x:v>0</x:v>
      </x:c>
      <x:c r="L290" s="23" t="n">
        <x:v>1</x:v>
      </x:c>
      <x:c r="M290" s="68" t="n">
        <x:v>1</x:v>
      </x:c>
      <x:c r="N290" s="68" t="n">
        <x:v>0</x:v>
      </x:c>
      <x:c r="O290" s="23" t="str">
        <x:v>insufficient</x:v>
      </x:c>
      <x:c r="P290" s="23" t="str">
        <x:v>none</x:v>
      </x:c>
      <x:c r="Q290" s="23" t="str">
        <x:v>—</x:v>
      </x:c>
      <x:c r="R290" s="23" t="str">
        <x:v>—</x:v>
      </x:c>
      <x:c r="S290" s="23" t="str">
        <x:v>—</x:v>
      </x:c>
      <x:c r="T290" s="23" t="str">
        <x:v>bullish</x:v>
      </x:c>
      <x:c r="U290" s="23" t="str">
        <x:v>—</x:v>
      </x:c>
    </x:row>
    <x:row r="291">
      <x:c r="A291" s="23" t="n">
        <x:v>1166</x:v>
      </x:c>
      <x:c r="B291" s="23" t="str">
        <x:v>ASTS</x:v>
      </x:c>
      <x:c r="C291" s="53" t="n">
        <x:v>46172.60358796296</x:v>
      </x:c>
      <x:c r="D291" s="23" t="str">
        <x:v>StockSavvyShay</x:v>
      </x:c>
      <x:c r="E291" s="23" t="str">
        <x:v>bullish</x:v>
      </x:c>
      <x:c r="F291" s="34" t="n">
        <x:v>0.8</x:v>
      </x:c>
      <x:c r="G291" s="23" t="str">
        <x:v>auto</x:v>
      </x:c>
      <x:c r="H291" s="23" t="str">
        <x:v>vote 변경</x:v>
      </x:c>
      <x:c r="I291" s="23" t="str">
        <x:v>insufficient</x:v>
      </x:c>
      <x:c r="J291" s="23" t="n">
        <x:v>1</x:v>
      </x:c>
      <x:c r="K291" s="23" t="n">
        <x:v>0</x:v>
      </x:c>
      <x:c r="L291" s="23" t="n">
        <x:v>1</x:v>
      </x:c>
      <x:c r="M291" s="68" t="n">
        <x:v>1</x:v>
      </x:c>
      <x:c r="N291" s="68" t="n">
        <x:v>0</x:v>
      </x:c>
      <x:c r="O291" s="23" t="str">
        <x:v>insufficient</x:v>
      </x:c>
      <x:c r="P291" s="23" t="str">
        <x:v>none</x:v>
      </x:c>
      <x:c r="Q291" s="23" t="str">
        <x:v>—</x:v>
      </x:c>
      <x:c r="R291" s="23" t="str">
        <x:v>—</x:v>
      </x:c>
      <x:c r="S291" s="23" t="str">
        <x:v>—</x:v>
      </x:c>
      <x:c r="T291" s="23" t="str">
        <x:v>bullish</x:v>
      </x:c>
      <x:c r="U291" s="23" t="str">
        <x:v>—</x:v>
      </x:c>
    </x:row>
    <x:row r="292">
      <x:c r="A292" s="23" t="n">
        <x:v>384</x:v>
      </x:c>
      <x:c r="B292" s="23" t="str">
        <x:v>ASTS</x:v>
      </x:c>
      <x:c r="C292" s="53" t="n">
        <x:v>46183.47006944445</x:v>
      </x:c>
      <x:c r="D292" s="23" t="str">
        <x:v>aleabitoreddit</x:v>
      </x:c>
      <x:c r="E292" s="23" t="str">
        <x:v>bearish</x:v>
      </x:c>
      <x:c r="F292" s="34" t="n">
        <x:v>0.7</x:v>
      </x:c>
      <x:c r="G292" s="23" t="str">
        <x:v>needs_review</x:v>
      </x:c>
      <x:c r="H292" s="23" t="str">
        <x:v>근거만</x:v>
      </x:c>
      <x:c r="I292" s="23" t="str">
        <x:v>insufficient</x:v>
      </x:c>
      <x:c r="J292" s="23" t="n">
        <x:v>1</x:v>
      </x:c>
      <x:c r="K292" s="23" t="n">
        <x:v>0</x:v>
      </x:c>
      <x:c r="L292" s="23" t="n">
        <x:v>1</x:v>
      </x:c>
      <x:c r="M292" s="68" t="n">
        <x:v>1</x:v>
      </x:c>
      <x:c r="N292" s="68" t="n">
        <x:v>0</x:v>
      </x:c>
      <x:c r="O292" s="23" t="str">
        <x:v>insufficient</x:v>
      </x:c>
      <x:c r="P292" s="23" t="str">
        <x:v>none</x:v>
      </x:c>
      <x:c r="Q292" s="23" t="str">
        <x:v>—</x:v>
      </x:c>
      <x:c r="R292" s="23" t="str">
        <x:v>—</x:v>
      </x:c>
      <x:c r="S292" s="23" t="str">
        <x:v>—</x:v>
      </x:c>
      <x:c r="T292" s="23" t="str">
        <x:v>bullish</x:v>
      </x:c>
      <x:c r="U292" s="23" t="str">
        <x:v>—</x:v>
      </x:c>
    </x:row>
    <x:row r="293">
      <x:c r="A293" s="23" t="n">
        <x:v>767</x:v>
      </x:c>
      <x:c r="B293" s="23" t="str">
        <x:v>ASTS</x:v>
      </x:c>
      <x:c r="C293" s="53" t="n">
        <x:v>46198.618796296294</x:v>
      </x:c>
      <x:c r="D293" s="23" t="str">
        <x:v>aleabitoreddit</x:v>
      </x:c>
      <x:c r="E293" s="23" t="str">
        <x:v>bearish</x:v>
      </x:c>
      <x:c r="F293" s="34" t="n">
        <x:v>0.9</x:v>
      </x:c>
      <x:c r="G293" s="23" t="str">
        <x:v>auto</x:v>
      </x:c>
      <x:c r="H293" s="23" t="str">
        <x:v>vote 변경</x:v>
      </x:c>
      <x:c r="I293" s="23" t="str">
        <x:v>insufficient</x:v>
      </x:c>
      <x:c r="J293" s="23" t="n">
        <x:v>1</x:v>
      </x:c>
      <x:c r="K293" s="23" t="n">
        <x:v>1</x:v>
      </x:c>
      <x:c r="L293" s="23" t="n">
        <x:v>2</x:v>
      </x:c>
      <x:c r="M293" s="68" t="n">
        <x:v>0.5</x:v>
      </x:c>
      <x:c r="N293" s="68" t="n">
        <x:v>0.5</x:v>
      </x:c>
      <x:c r="O293" s="23" t="str">
        <x:v>mixed</x:v>
      </x:c>
      <x:c r="P293" s="23" t="str">
        <x:v>none</x:v>
      </x:c>
      <x:c r="Q293" s="23" t="str">
        <x:v>—</x:v>
      </x:c>
      <x:c r="R293" s="23" t="str">
        <x:v>—</x:v>
      </x:c>
      <x:c r="S293" s="23" t="str">
        <x:v>—</x:v>
      </x:c>
      <x:c r="T293" s="23" t="str">
        <x:v>bullish</x:v>
      </x:c>
      <x:c r="U293" s="23" t="str">
        <x:v>bearish</x:v>
      </x:c>
    </x:row>
    <x:row r="294">
      <x:c r="A294" s="23" t="n">
        <x:v>861</x:v>
      </x:c>
      <x:c r="B294" s="23" t="str">
        <x:v>ASTS</x:v>
      </x:c>
      <x:c r="C294" s="53" t="n">
        <x:v>46202.44667824074</x:v>
      </x:c>
      <x:c r="D294" s="23" t="str">
        <x:v>aleabitoreddit</x:v>
      </x:c>
      <x:c r="E294" s="23" t="str">
        <x:v>bullish</x:v>
      </x:c>
      <x:c r="F294" s="34" t="n">
        <x:v>0.7</x:v>
      </x:c>
      <x:c r="G294" s="23" t="str">
        <x:v>needs_review</x:v>
      </x:c>
      <x:c r="H294" s="23" t="str">
        <x:v>근거만</x:v>
      </x:c>
      <x:c r="I294" s="23" t="str">
        <x:v>mixed</x:v>
      </x:c>
      <x:c r="J294" s="23" t="n">
        <x:v>1</x:v>
      </x:c>
      <x:c r="K294" s="23" t="n">
        <x:v>1</x:v>
      </x:c>
      <x:c r="L294" s="23" t="n">
        <x:v>2</x:v>
      </x:c>
      <x:c r="M294" s="68" t="n">
        <x:v>0.5</x:v>
      </x:c>
      <x:c r="N294" s="68" t="n">
        <x:v>0.5</x:v>
      </x:c>
      <x:c r="O294" s="23" t="str">
        <x:v>mixed</x:v>
      </x:c>
      <x:c r="P294" s="23" t="str">
        <x:v>none</x:v>
      </x:c>
      <x:c r="Q294" s="23" t="str">
        <x:v>—</x:v>
      </x:c>
      <x:c r="R294" s="23" t="str">
        <x:v>—</x:v>
      </x:c>
      <x:c r="S294" s="23" t="str">
        <x:v>—</x:v>
      </x:c>
      <x:c r="T294" s="23" t="str">
        <x:v>bullish</x:v>
      </x:c>
      <x:c r="U294" s="23" t="str">
        <x:v>bearish</x:v>
      </x:c>
    </x:row>
    <x:row r="295">
      <x:c r="A295" s="23" t="n">
        <x:v>17</x:v>
      </x:c>
      <x:c r="B295" s="23" t="str">
        <x:v>ASTS</x:v>
      </x:c>
      <x:c r="C295" s="53" t="n">
        <x:v>46211.5346875</x:v>
      </x:c>
      <x:c r="D295" s="23" t="str">
        <x:v>aleabitoreddit</x:v>
      </x:c>
      <x:c r="E295" s="23" t="str">
        <x:v>bullish</x:v>
      </x:c>
      <x:c r="F295" s="34" t="n">
        <x:v>0.8</x:v>
      </x:c>
      <x:c r="G295" s="23" t="str">
        <x:v>auto</x:v>
      </x:c>
      <x:c r="H295" s="23" t="str">
        <x:v>vote 변경</x:v>
      </x:c>
      <x:c r="I295" s="23" t="str">
        <x:v>mixed</x:v>
      </x:c>
      <x:c r="J295" s="23" t="n">
        <x:v>2</x:v>
      </x:c>
      <x:c r="K295" s="23" t="n">
        <x:v>0</x:v>
      </x:c>
      <x:c r="L295" s="23" t="n">
        <x:v>2</x:v>
      </x:c>
      <x:c r="M295" s="68" t="n">
        <x:v>1</x:v>
      </x:c>
      <x:c r="N295" s="68" t="n">
        <x:v>0</x:v>
      </x:c>
      <x:c r="O295" s="23" t="str">
        <x:v>positive</x:v>
      </x:c>
      <x:c r="P295" s="23" t="str">
        <x:v>entry</x:v>
      </x:c>
      <x:c r="Q295" s="23" t="str">
        <x:v>—</x:v>
      </x:c>
      <x:c r="R295" s="23" t="str">
        <x:v>—</x:v>
      </x:c>
      <x:c r="S295" s="23" t="str">
        <x:v>—</x:v>
      </x:c>
      <x:c r="T295" s="23" t="str">
        <x:v>bullish</x:v>
      </x:c>
      <x:c r="U295" s="23" t="str">
        <x:v>bullish</x:v>
      </x:c>
    </x:row>
    <x:row r="296">
      <x:c r="A296" s="23" t="n">
        <x:v>24</x:v>
      </x:c>
      <x:c r="B296" s="23" t="str">
        <x:v>ASTS</x:v>
      </x:c>
      <x:c r="C296" s="53" t="n">
        <x:v>46211.54935185185</x:v>
      </x:c>
      <x:c r="D296" s="23" t="str">
        <x:v>aleabitoreddit</x:v>
      </x:c>
      <x:c r="E296" s="23" t="str">
        <x:v>mixed</x:v>
      </x:c>
      <x:c r="F296" s="34" t="n">
        <x:v>0.8</x:v>
      </x:c>
      <x:c r="G296" s="23" t="str">
        <x:v>auto</x:v>
      </x:c>
      <x:c r="H296" s="23" t="str">
        <x:v>근거만</x:v>
      </x:c>
      <x:c r="I296" s="23" t="str">
        <x:v>positive</x:v>
      </x:c>
      <x:c r="J296" s="23" t="n">
        <x:v>2</x:v>
      </x:c>
      <x:c r="K296" s="23" t="n">
        <x:v>0</x:v>
      </x:c>
      <x:c r="L296" s="23" t="n">
        <x:v>2</x:v>
      </x:c>
      <x:c r="M296" s="68" t="n">
        <x:v>1</x:v>
      </x:c>
      <x:c r="N296" s="68" t="n">
        <x:v>0</x:v>
      </x:c>
      <x:c r="O296" s="23" t="str">
        <x:v>positive</x:v>
      </x:c>
      <x:c r="P296" s="23" t="str">
        <x:v>none</x:v>
      </x:c>
      <x:c r="Q296" s="23" t="str">
        <x:v>—</x:v>
      </x:c>
      <x:c r="R296" s="23" t="str">
        <x:v>—</x:v>
      </x:c>
      <x:c r="S296" s="23" t="str">
        <x:v>—</x:v>
      </x:c>
      <x:c r="T296" s="23" t="str">
        <x:v>bullish</x:v>
      </x:c>
      <x:c r="U296" s="23" t="str">
        <x:v>bullish</x:v>
      </x:c>
    </x:row>
    <x:row r="297">
      <x:c r="A297" s="23" t="n">
        <x:v>1324</x:v>
      </x:c>
      <x:c r="B297" s="23" t="str">
        <x:v>ASTS</x:v>
      </x:c>
      <x:c r="C297" s="53" t="n">
        <x:v>46223.207349537035</x:v>
      </x:c>
      <x:c r="D297" s="23" t="str">
        <x:v>StockSavvyShay</x:v>
      </x:c>
      <x:c r="E297" s="23" t="str">
        <x:v>bullish</x:v>
      </x:c>
      <x:c r="F297" s="34" t="n">
        <x:v>0.8</x:v>
      </x:c>
      <x:c r="G297" s="23" t="str">
        <x:v>auto</x:v>
      </x:c>
      <x:c r="H297" s="23" t="str">
        <x:v>vote 변경</x:v>
      </x:c>
      <x:c r="I297" s="23" t="str">
        <x:v>positive</x:v>
      </x:c>
      <x:c r="J297" s="23" t="n">
        <x:v>2</x:v>
      </x:c>
      <x:c r="K297" s="23" t="n">
        <x:v>0</x:v>
      </x:c>
      <x:c r="L297" s="23" t="n">
        <x:v>2</x:v>
      </x:c>
      <x:c r="M297" s="68" t="n">
        <x:v>1</x:v>
      </x:c>
      <x:c r="N297" s="68" t="n">
        <x:v>0</x:v>
      </x:c>
      <x:c r="O297" s="23" t="str">
        <x:v>positive</x:v>
      </x:c>
      <x:c r="P297" s="23" t="str">
        <x:v>none</x:v>
      </x:c>
      <x:c r="Q297" s="23" t="str">
        <x:v>—</x:v>
      </x:c>
      <x:c r="R297" s="23" t="str">
        <x:v>—</x:v>
      </x:c>
      <x:c r="S297" s="23" t="str">
        <x:v>—</x:v>
      </x:c>
      <x:c r="T297" s="23" t="str">
        <x:v>bullish</x:v>
      </x:c>
      <x:c r="U297" s="23" t="str">
        <x:v>bullish</x:v>
      </x:c>
    </x:row>
    <x:row r="298">
      <x:c r="A298" s="23" t="n">
        <x:v>1358</x:v>
      </x:c>
      <x:c r="B298" s="23" t="str">
        <x:v>ASTS</x:v>
      </x:c>
      <x:c r="C298" s="53" t="n">
        <x:v>46223.66127314815</x:v>
      </x:c>
      <x:c r="D298" s="23" t="str">
        <x:v>StockSavvyShay</x:v>
      </x:c>
      <x:c r="E298" s="23" t="str">
        <x:v>neutral</x:v>
      </x:c>
      <x:c r="F298" s="34" t="n">
        <x:v>0</x:v>
      </x:c>
      <x:c r="G298" s="23" t="str">
        <x:v>needs_review</x:v>
      </x:c>
      <x:c r="H298" s="23" t="str">
        <x:v>근거만</x:v>
      </x:c>
      <x:c r="I298" s="23" t="str">
        <x:v>positive</x:v>
      </x:c>
      <x:c r="J298" s="23" t="n">
        <x:v>2</x:v>
      </x:c>
      <x:c r="K298" s="23" t="n">
        <x:v>0</x:v>
      </x:c>
      <x:c r="L298" s="23" t="n">
        <x:v>2</x:v>
      </x:c>
      <x:c r="M298" s="68" t="n">
        <x:v>1</x:v>
      </x:c>
      <x:c r="N298" s="68" t="n">
        <x:v>0</x:v>
      </x:c>
      <x:c r="O298" s="23" t="str">
        <x:v>positive</x:v>
      </x:c>
      <x:c r="P298" s="23" t="str">
        <x:v>none</x:v>
      </x:c>
      <x:c r="Q298" s="23" t="str">
        <x:v>—</x:v>
      </x:c>
      <x:c r="R298" s="23" t="str">
        <x:v>—</x:v>
      </x:c>
      <x:c r="S298" s="23" t="str">
        <x:v>—</x:v>
      </x:c>
      <x:c r="T298" s="23" t="str">
        <x:v>bullish</x:v>
      </x:c>
      <x:c r="U298" s="23" t="str">
        <x:v>bullish</x:v>
      </x:c>
    </x:row>
    <x:row r="299">
      <x:c r="A299" s="23" t="n">
        <x:v>1423</x:v>
      </x:c>
      <x:c r="B299" s="23" t="str">
        <x:v>ASTS</x:v>
      </x:c>
      <x:c r="C299" s="53" t="n">
        <x:v>46223.94960648148</x:v>
      </x:c>
      <x:c r="D299" s="23" t="str">
        <x:v>StockSavvyShay</x:v>
      </x:c>
      <x:c r="E299" s="23" t="str">
        <x:v>bearish</x:v>
      </x:c>
      <x:c r="F299" s="34" t="n">
        <x:v>0.8</x:v>
      </x:c>
      <x:c r="G299" s="23" t="str">
        <x:v>auto</x:v>
      </x:c>
      <x:c r="H299" s="23" t="str">
        <x:v>vote 변경</x:v>
      </x:c>
      <x:c r="I299" s="23" t="str">
        <x:v>positive</x:v>
      </x:c>
      <x:c r="J299" s="23" t="n">
        <x:v>1</x:v>
      </x:c>
      <x:c r="K299" s="23" t="n">
        <x:v>1</x:v>
      </x:c>
      <x:c r="L299" s="23" t="n">
        <x:v>2</x:v>
      </x:c>
      <x:c r="M299" s="68" t="n">
        <x:v>0.5</x:v>
      </x:c>
      <x:c r="N299" s="68" t="n">
        <x:v>0.5</x:v>
      </x:c>
      <x:c r="O299" s="23" t="str">
        <x:v>mixed</x:v>
      </x:c>
      <x:c r="P299" s="23" t="str">
        <x:v>exit</x:v>
      </x:c>
      <x:c r="Q299" s="23" t="str">
        <x:v>—</x:v>
      </x:c>
      <x:c r="R299" s="23" t="str">
        <x:v>—</x:v>
      </x:c>
      <x:c r="S299" s="23" t="str">
        <x:v>—</x:v>
      </x:c>
      <x:c r="T299" s="23" t="str">
        <x:v>bearish</x:v>
      </x:c>
      <x:c r="U299" s="23" t="str">
        <x:v>bullish</x:v>
      </x:c>
    </x:row>
    <x:row r="300">
      <x:c r="A300" s="23" t="n">
        <x:v>1424</x:v>
      </x:c>
      <x:c r="B300" s="23" t="str">
        <x:v>ASTS</x:v>
      </x:c>
      <x:c r="C300" s="53" t="n">
        <x:v>46223.97476851852</x:v>
      </x:c>
      <x:c r="D300" s="23" t="str">
        <x:v>StockSavvyShay</x:v>
      </x:c>
      <x:c r="E300" s="23" t="str">
        <x:v>bearish</x:v>
      </x:c>
      <x:c r="F300" s="34" t="n">
        <x:v>0.9</x:v>
      </x:c>
      <x:c r="G300" s="23" t="str">
        <x:v>auto</x:v>
      </x:c>
      <x:c r="H300" s="23" t="str">
        <x:v>vote 변경</x:v>
      </x:c>
      <x:c r="I300" s="23" t="str">
        <x:v>mixed</x:v>
      </x:c>
      <x:c r="J300" s="23" t="n">
        <x:v>1</x:v>
      </x:c>
      <x:c r="K300" s="23" t="n">
        <x:v>1</x:v>
      </x:c>
      <x:c r="L300" s="23" t="n">
        <x:v>2</x:v>
      </x:c>
      <x:c r="M300" s="68" t="n">
        <x:v>0.5</x:v>
      </x:c>
      <x:c r="N300" s="68" t="n">
        <x:v>0.5</x:v>
      </x:c>
      <x:c r="O300" s="23" t="str">
        <x:v>mixed</x:v>
      </x:c>
      <x:c r="P300" s="23" t="str">
        <x:v>none</x:v>
      </x:c>
      <x:c r="Q300" s="23" t="str">
        <x:v>—</x:v>
      </x:c>
      <x:c r="R300" s="23" t="str">
        <x:v>—</x:v>
      </x:c>
      <x:c r="S300" s="23" t="str">
        <x:v>—</x:v>
      </x:c>
      <x:c r="T300" s="23" t="str">
        <x:v>bearish</x:v>
      </x:c>
      <x:c r="U300" s="23" t="str">
        <x:v>bullish</x:v>
      </x:c>
    </x:row>
    <x:row r="301">
      <x:c r="A301" s="23" t="n">
        <x:v>1480</x:v>
      </x:c>
      <x:c r="B301" s="23" t="str">
        <x:v>ASTS</x:v>
      </x:c>
      <x:c r="C301" s="53" t="n">
        <x:v>46224.61516203704</x:v>
      </x:c>
      <x:c r="D301" s="23" t="str">
        <x:v>StockSavvyShay</x:v>
      </x:c>
      <x:c r="E301" s="23" t="str">
        <x:v>bearish</x:v>
      </x:c>
      <x:c r="F301" s="34" t="n">
        <x:v>0.9</x:v>
      </x:c>
      <x:c r="G301" s="23" t="str">
        <x:v>auto</x:v>
      </x:c>
      <x:c r="H301" s="23" t="str">
        <x:v>vote 변경</x:v>
      </x:c>
      <x:c r="I301" s="23" t="str">
        <x:v>mixed</x:v>
      </x:c>
      <x:c r="J301" s="23" t="n">
        <x:v>1</x:v>
      </x:c>
      <x:c r="K301" s="23" t="n">
        <x:v>1</x:v>
      </x:c>
      <x:c r="L301" s="23" t="n">
        <x:v>2</x:v>
      </x:c>
      <x:c r="M301" s="68" t="n">
        <x:v>0.5</x:v>
      </x:c>
      <x:c r="N301" s="68" t="n">
        <x:v>0.5</x:v>
      </x:c>
      <x:c r="O301" s="23" t="str">
        <x:v>mixed</x:v>
      </x:c>
      <x:c r="P301" s="23" t="str">
        <x:v>none</x:v>
      </x:c>
      <x:c r="Q301" s="23" t="str">
        <x:v>—</x:v>
      </x:c>
      <x:c r="R301" s="23" t="str">
        <x:v>—</x:v>
      </x:c>
      <x:c r="S301" s="23" t="str">
        <x:v>—</x:v>
      </x:c>
      <x:c r="T301" s="23" t="str">
        <x:v>bearish</x:v>
      </x:c>
      <x:c r="U301" s="23" t="str">
        <x:v>bullish</x:v>
      </x:c>
    </x:row>
    <x:row r="302">
      <x:c r="A302" s="23" t="n">
        <x:v>1569</x:v>
      </x:c>
      <x:c r="B302" s="23" t="str">
        <x:v>ASTS</x:v>
      </x:c>
      <x:c r="C302" s="53" t="n">
        <x:v>46225.04377314815</x:v>
      </x:c>
      <x:c r="D302" s="23" t="str">
        <x:v>StockSavvyShay</x:v>
      </x:c>
      <x:c r="E302" s="23" t="str">
        <x:v>neutral</x:v>
      </x:c>
      <x:c r="F302" s="34" t="n">
        <x:v>0</x:v>
      </x:c>
      <x:c r="G302" s="23" t="str">
        <x:v>needs_review</x:v>
      </x:c>
      <x:c r="H302" s="23" t="str">
        <x:v>근거만</x:v>
      </x:c>
      <x:c r="I302" s="23" t="str">
        <x:v>mixed</x:v>
      </x:c>
      <x:c r="J302" s="23" t="n">
        <x:v>1</x:v>
      </x:c>
      <x:c r="K302" s="23" t="n">
        <x:v>1</x:v>
      </x:c>
      <x:c r="L302" s="23" t="n">
        <x:v>2</x:v>
      </x:c>
      <x:c r="M302" s="68" t="n">
        <x:v>0.5</x:v>
      </x:c>
      <x:c r="N302" s="68" t="n">
        <x:v>0.5</x:v>
      </x:c>
      <x:c r="O302" s="23" t="str">
        <x:v>mixed</x:v>
      </x:c>
      <x:c r="P302" s="23" t="str">
        <x:v>none</x:v>
      </x:c>
      <x:c r="Q302" s="23" t="str">
        <x:v>—</x:v>
      </x:c>
      <x:c r="R302" s="23" t="str">
        <x:v>—</x:v>
      </x:c>
      <x:c r="S302" s="23" t="str">
        <x:v>—</x:v>
      </x:c>
      <x:c r="T302" s="23" t="str">
        <x:v>bearish</x:v>
      </x:c>
      <x:c r="U302" s="23" t="str">
        <x:v>bullish</x:v>
      </x:c>
    </x:row>
    <x:row r="303">
      <x:c r="A303" s="23" t="n">
        <x:v>1590</x:v>
      </x:c>
      <x:c r="B303" s="23" t="str">
        <x:v>ASTS</x:v>
      </x:c>
      <x:c r="C303" s="53" t="n">
        <x:v>46225.574467592596</x:v>
      </x:c>
      <x:c r="D303" s="23" t="str">
        <x:v>StockSavvyShay</x:v>
      </x:c>
      <x:c r="E303" s="23" t="str">
        <x:v>neutral</x:v>
      </x:c>
      <x:c r="F303" s="34" t="n">
        <x:v>0.8</x:v>
      </x:c>
      <x:c r="G303" s="23" t="str">
        <x:v>needs_review</x:v>
      </x:c>
      <x:c r="H303" s="23" t="str">
        <x:v>근거만</x:v>
      </x:c>
      <x:c r="I303" s="23" t="str">
        <x:v>mixed</x:v>
      </x:c>
      <x:c r="J303" s="23" t="n">
        <x:v>1</x:v>
      </x:c>
      <x:c r="K303" s="23" t="n">
        <x:v>1</x:v>
      </x:c>
      <x:c r="L303" s="23" t="n">
        <x:v>2</x:v>
      </x:c>
      <x:c r="M303" s="68" t="n">
        <x:v>0.5</x:v>
      </x:c>
      <x:c r="N303" s="68" t="n">
        <x:v>0.5</x:v>
      </x:c>
      <x:c r="O303" s="23" t="str">
        <x:v>mixed</x:v>
      </x:c>
      <x:c r="P303" s="23" t="str">
        <x:v>none</x:v>
      </x:c>
      <x:c r="Q303" s="23" t="str">
        <x:v>—</x:v>
      </x:c>
      <x:c r="R303" s="23" t="str">
        <x:v>—</x:v>
      </x:c>
      <x:c r="S303" s="23" t="str">
        <x:v>—</x:v>
      </x:c>
      <x:c r="T303" s="23" t="str">
        <x:v>bearish</x:v>
      </x:c>
      <x:c r="U303" s="23" t="str">
        <x:v>bullish</x:v>
      </x:c>
    </x:row>
    <x:row r="304">
      <x:c r="A304" s="23" t="n">
        <x:v>1682</x:v>
      </x:c>
      <x:c r="B304" s="23" t="str">
        <x:v>ASTS</x:v>
      </x:c>
      <x:c r="C304" s="53" t="n">
        <x:v>46225.90085648148</x:v>
      </x:c>
      <x:c r="D304" s="23" t="str">
        <x:v>StockSavvyShay</x:v>
      </x:c>
      <x:c r="E304" s="23" t="str">
        <x:v>bullish</x:v>
      </x:c>
      <x:c r="F304" s="34" t="n">
        <x:v>0.7</x:v>
      </x:c>
      <x:c r="G304" s="23" t="str">
        <x:v>needs_review</x:v>
      </x:c>
      <x:c r="H304" s="23" t="str">
        <x:v>근거만</x:v>
      </x:c>
      <x:c r="I304" s="23" t="str">
        <x:v>mixed</x:v>
      </x:c>
      <x:c r="J304" s="23" t="n">
        <x:v>1</x:v>
      </x:c>
      <x:c r="K304" s="23" t="n">
        <x:v>1</x:v>
      </x:c>
      <x:c r="L304" s="23" t="n">
        <x:v>2</x:v>
      </x:c>
      <x:c r="M304" s="68" t="n">
        <x:v>0.5</x:v>
      </x:c>
      <x:c r="N304" s="68" t="n">
        <x:v>0.5</x:v>
      </x:c>
      <x:c r="O304" s="23" t="str">
        <x:v>mixed</x:v>
      </x:c>
      <x:c r="P304" s="23" t="str">
        <x:v>none</x:v>
      </x:c>
      <x:c r="Q304" s="23" t="str">
        <x:v>—</x:v>
      </x:c>
      <x:c r="R304" s="23" t="str">
        <x:v>—</x:v>
      </x:c>
      <x:c r="S304" s="23" t="str">
        <x:v>—</x:v>
      </x:c>
      <x:c r="T304" s="23" t="str">
        <x:v>bearish</x:v>
      </x:c>
      <x:c r="U304" s="23" t="str">
        <x:v>bullish</x:v>
      </x:c>
    </x:row>
    <x:row r="305">
      <x:c r="A305" s="23" t="n">
        <x:v>1848</x:v>
      </x:c>
      <x:c r="B305" s="23" t="str">
        <x:v>ASTS</x:v>
      </x:c>
      <x:c r="C305" s="53" t="n">
        <x:v>46227.51945601852</x:v>
      </x:c>
      <x:c r="D305" s="23" t="str">
        <x:v>StockSavvyShay</x:v>
      </x:c>
      <x:c r="E305" s="23" t="str">
        <x:v>bullish</x:v>
      </x:c>
      <x:c r="F305" s="34" t="n">
        <x:v>0.7</x:v>
      </x:c>
      <x:c r="G305" s="23" t="str">
        <x:v>needs_review</x:v>
      </x:c>
      <x:c r="H305" s="23" t="str">
        <x:v>근거만</x:v>
      </x:c>
      <x:c r="I305" s="23" t="str">
        <x:v>mixed</x:v>
      </x:c>
      <x:c r="J305" s="23" t="n">
        <x:v>1</x:v>
      </x:c>
      <x:c r="K305" s="23" t="n">
        <x:v>1</x:v>
      </x:c>
      <x:c r="L305" s="23" t="n">
        <x:v>2</x:v>
      </x:c>
      <x:c r="M305" s="68" t="n">
        <x:v>0.5</x:v>
      </x:c>
      <x:c r="N305" s="68" t="n">
        <x:v>0.5</x:v>
      </x:c>
      <x:c r="O305" s="23" t="str">
        <x:v>mixed</x:v>
      </x:c>
      <x:c r="P305" s="23" t="str">
        <x:v>none</x:v>
      </x:c>
      <x:c r="Q305" s="23" t="str">
        <x:v>—</x:v>
      </x:c>
      <x:c r="R305" s="23" t="str">
        <x:v>—</x:v>
      </x:c>
      <x:c r="S305" s="23" t="str">
        <x:v>—</x:v>
      </x:c>
      <x:c r="T305" s="23" t="str">
        <x:v>bearish</x:v>
      </x:c>
      <x:c r="U305" s="23" t="str">
        <x:v>bullish</x:v>
      </x:c>
    </x:row>
    <x:row r="306">
      <x:c r="A306" s="23" t="n">
        <x:v>1866</x:v>
      </x:c>
      <x:c r="B306" s="23" t="str">
        <x:v>ASTS</x:v>
      </x:c>
      <x:c r="C306" s="53" t="n">
        <x:v>46227.6125</x:v>
      </x:c>
      <x:c r="D306" s="23" t="str">
        <x:v>StockSavvyShay</x:v>
      </x:c>
      <x:c r="E306" s="23" t="str">
        <x:v>bullish</x:v>
      </x:c>
      <x:c r="F306" s="34" t="n">
        <x:v>0.8</x:v>
      </x:c>
      <x:c r="G306" s="23" t="str">
        <x:v>auto</x:v>
      </x:c>
      <x:c r="H306" s="23" t="str">
        <x:v>vote 변경</x:v>
      </x:c>
      <x:c r="I306" s="23" t="str">
        <x:v>mixed</x:v>
      </x:c>
      <x:c r="J306" s="23" t="n">
        <x:v>2</x:v>
      </x:c>
      <x:c r="K306" s="23" t="n">
        <x:v>0</x:v>
      </x:c>
      <x:c r="L306" s="23" t="n">
        <x:v>2</x:v>
      </x:c>
      <x:c r="M306" s="68" t="n">
        <x:v>1</x:v>
      </x:c>
      <x:c r="N306" s="68" t="n">
        <x:v>0</x:v>
      </x:c>
      <x:c r="O306" s="23" t="str">
        <x:v>positive</x:v>
      </x:c>
      <x:c r="P306" s="23" t="str">
        <x:v>entry</x:v>
      </x:c>
      <x:c r="Q306" s="23" t="str">
        <x:v>—</x:v>
      </x:c>
      <x:c r="R306" s="23" t="str">
        <x:v>—</x:v>
      </x:c>
      <x:c r="S306" s="23" t="str">
        <x:v>—</x:v>
      </x:c>
      <x:c r="T306" s="23" t="str">
        <x:v>bullish</x:v>
      </x:c>
      <x:c r="U306" s="23" t="str">
        <x:v>bullish</x:v>
      </x:c>
    </x:row>
    <x:row r="307">
      <x:c r="A307" s="23" t="n">
        <x:v>1943</x:v>
      </x:c>
      <x:c r="B307" s="23" t="str">
        <x:v>ASTS</x:v>
      </x:c>
      <x:c r="C307" s="53" t="n">
        <x:v>46228.572175925925</x:v>
      </x:c>
      <x:c r="D307" s="23" t="str">
        <x:v>StockSavvyShay</x:v>
      </x:c>
      <x:c r="E307" s="23" t="str">
        <x:v>neutral</x:v>
      </x:c>
      <x:c r="F307" s="34" t="n">
        <x:v>0</x:v>
      </x:c>
      <x:c r="G307" s="23" t="str">
        <x:v>needs_review</x:v>
      </x:c>
      <x:c r="H307" s="23" t="str">
        <x:v>근거만</x:v>
      </x:c>
      <x:c r="I307" s="23" t="str">
        <x:v>positive</x:v>
      </x:c>
      <x:c r="J307" s="23" t="n">
        <x:v>2</x:v>
      </x:c>
      <x:c r="K307" s="23" t="n">
        <x:v>0</x:v>
      </x:c>
      <x:c r="L307" s="23" t="n">
        <x:v>2</x:v>
      </x:c>
      <x:c r="M307" s="68" t="n">
        <x:v>1</x:v>
      </x:c>
      <x:c r="N307" s="68" t="n">
        <x:v>0</x:v>
      </x:c>
      <x:c r="O307" s="23" t="str">
        <x:v>positive</x:v>
      </x:c>
      <x:c r="P307" s="23" t="str">
        <x:v>none</x:v>
      </x:c>
      <x:c r="Q307" s="23" t="str">
        <x:v>—</x:v>
      </x:c>
      <x:c r="R307" s="23" t="str">
        <x:v>—</x:v>
      </x:c>
      <x:c r="S307" s="23" t="str">
        <x:v>—</x:v>
      </x:c>
      <x:c r="T307" s="23" t="str">
        <x:v>bullish</x:v>
      </x:c>
      <x:c r="U307" s="23" t="str">
        <x:v>bullish</x:v>
      </x:c>
    </x:row>
    <x:row r="308">
      <x:c r="A308" s="23" t="n">
        <x:v>1966</x:v>
      </x:c>
      <x:c r="B308" s="23" t="str">
        <x:v>ASTS</x:v>
      </x:c>
      <x:c r="C308" s="53" t="n">
        <x:v>46228.60265046296</x:v>
      </x:c>
      <x:c r="D308" s="23" t="str">
        <x:v>StockSavvyShay</x:v>
      </x:c>
      <x:c r="E308" s="23" t="str">
        <x:v>bearish</x:v>
      </x:c>
      <x:c r="F308" s="34" t="n">
        <x:v>1</x:v>
      </x:c>
      <x:c r="G308" s="23" t="str">
        <x:v>needs_review</x:v>
      </x:c>
      <x:c r="H308" s="23" t="str">
        <x:v>근거만</x:v>
      </x:c>
      <x:c r="I308" s="23" t="str">
        <x:v>positive</x:v>
      </x:c>
      <x:c r="J308" s="23" t="n">
        <x:v>2</x:v>
      </x:c>
      <x:c r="K308" s="23" t="n">
        <x:v>0</x:v>
      </x:c>
      <x:c r="L308" s="23" t="n">
        <x:v>2</x:v>
      </x:c>
      <x:c r="M308" s="68" t="n">
        <x:v>1</x:v>
      </x:c>
      <x:c r="N308" s="68" t="n">
        <x:v>0</x:v>
      </x:c>
      <x:c r="O308" s="23" t="str">
        <x:v>positive</x:v>
      </x:c>
      <x:c r="P308" s="23" t="str">
        <x:v>none</x:v>
      </x:c>
      <x:c r="Q308" s="23" t="str">
        <x:v>—</x:v>
      </x:c>
      <x:c r="R308" s="23" t="str">
        <x:v>—</x:v>
      </x:c>
      <x:c r="S308" s="23" t="str">
        <x:v>—</x:v>
      </x:c>
      <x:c r="T308" s="23" t="str">
        <x:v>bullish</x:v>
      </x:c>
      <x:c r="U308" s="23" t="str">
        <x:v>bullish</x:v>
      </x:c>
    </x:row>
    <x:row r="309">
      <x:c r="A309" s="23" t="n">
        <x:v>2206</x:v>
      </x:c>
      <x:c r="B309" s="23" t="str">
        <x:v>ASTS</x:v>
      </x:c>
      <x:c r="C309" s="53" t="n">
        <x:v>46231.47525462963</x:v>
      </x:c>
      <x:c r="D309" s="23" t="str">
        <x:v>StockSavvyShay</x:v>
      </x:c>
      <x:c r="E309" s="23" t="str">
        <x:v>bullish</x:v>
      </x:c>
      <x:c r="F309" s="34" t="n">
        <x:v>0.8</x:v>
      </x:c>
      <x:c r="G309" s="23" t="str">
        <x:v>needs_review</x:v>
      </x:c>
      <x:c r="H309" s="23" t="str">
        <x:v>근거만</x:v>
      </x:c>
      <x:c r="I309" s="23" t="str">
        <x:v>positive</x:v>
      </x:c>
      <x:c r="J309" s="23" t="n">
        <x:v>2</x:v>
      </x:c>
      <x:c r="K309" s="23" t="n">
        <x:v>0</x:v>
      </x:c>
      <x:c r="L309" s="23" t="n">
        <x:v>2</x:v>
      </x:c>
      <x:c r="M309" s="68" t="n">
        <x:v>1</x:v>
      </x:c>
      <x:c r="N309" s="68" t="n">
        <x:v>0</x:v>
      </x:c>
      <x:c r="O309" s="23" t="str">
        <x:v>positive</x:v>
      </x:c>
      <x:c r="P309" s="23" t="str">
        <x:v>none</x:v>
      </x:c>
      <x:c r="Q309" s="23" t="str">
        <x:v>—</x:v>
      </x:c>
      <x:c r="R309" s="23" t="str">
        <x:v>—</x:v>
      </x:c>
      <x:c r="S309" s="23" t="str">
        <x:v>—</x:v>
      </x:c>
      <x:c r="T309" s="23" t="str">
        <x:v>bullish</x:v>
      </x:c>
      <x:c r="U309" s="23" t="str">
        <x:v>bullish</x:v>
      </x:c>
    </x:row>
    <x:row r="310">
      <x:c r="A310" s="23" t="n">
        <x:v>2715</x:v>
      </x:c>
      <x:c r="B310" s="23" t="str">
        <x:v>ASTS</x:v>
      </x:c>
      <x:c r="C310" s="53" t="n">
        <x:v>46234.739340277774</x:v>
      </x:c>
      <x:c r="D310" s="23" t="str">
        <x:v>StockSavvyShay</x:v>
      </x:c>
      <x:c r="E310" s="23" t="str">
        <x:v>bullish</x:v>
      </x:c>
      <x:c r="F310" s="34" t="n">
        <x:v>0.7</x:v>
      </x:c>
      <x:c r="G310" s="23" t="str">
        <x:v>needs_review</x:v>
      </x:c>
      <x:c r="H310" s="23" t="str">
        <x:v>근거만</x:v>
      </x:c>
      <x:c r="I310" s="23" t="str">
        <x:v>positive</x:v>
      </x:c>
      <x:c r="J310" s="23" t="n">
        <x:v>2</x:v>
      </x:c>
      <x:c r="K310" s="23" t="n">
        <x:v>0</x:v>
      </x:c>
      <x:c r="L310" s="23" t="n">
        <x:v>2</x:v>
      </x:c>
      <x:c r="M310" s="68" t="n">
        <x:v>1</x:v>
      </x:c>
      <x:c r="N310" s="68" t="n">
        <x:v>0</x:v>
      </x:c>
      <x:c r="O310" s="23" t="str">
        <x:v>positive</x:v>
      </x:c>
      <x:c r="P310" s="23" t="str">
        <x:v>none</x:v>
      </x:c>
      <x:c r="Q310" s="23" t="str">
        <x:v>—</x:v>
      </x:c>
      <x:c r="R310" s="23" t="str">
        <x:v>—</x:v>
      </x:c>
      <x:c r="S310" s="23" t="str">
        <x:v>—</x:v>
      </x:c>
      <x:c r="T310" s="23" t="str">
        <x:v>bullish</x:v>
      </x:c>
      <x:c r="U310" s="23" t="str">
        <x:v>bullish</x:v>
      </x:c>
    </x:row>
    <x:row r="311">
      <x:c r="A311" s="24" t="n">
        <x:v>2718</x:v>
      </x:c>
      <x:c r="B311" s="24" t="str">
        <x:v>ASTS</x:v>
      </x:c>
      <x:c r="C311" s="54" t="n">
        <x:v>46234.742430555554</x:v>
      </x:c>
      <x:c r="D311" s="24" t="str">
        <x:v>StockSavvyShay</x:v>
      </x:c>
      <x:c r="E311" s="24" t="str">
        <x:v>neutral</x:v>
      </x:c>
      <x:c r="F311" s="35" t="n">
        <x:v>0.8</x:v>
      </x:c>
      <x:c r="G311" s="24" t="str">
        <x:v>auto</x:v>
      </x:c>
      <x:c r="H311" s="24" t="str">
        <x:v>근거만</x:v>
      </x:c>
      <x:c r="I311" s="24" t="str">
        <x:v>positive</x:v>
      </x:c>
      <x:c r="J311" s="24" t="n">
        <x:v>2</x:v>
      </x:c>
      <x:c r="K311" s="24" t="n">
        <x:v>0</x:v>
      </x:c>
      <x:c r="L311" s="24" t="n">
        <x:v>2</x:v>
      </x:c>
      <x:c r="M311" s="69" t="n">
        <x:v>1</x:v>
      </x:c>
      <x:c r="N311" s="69" t="n">
        <x:v>0</x:v>
      </x:c>
      <x:c r="O311" s="24" t="str">
        <x:v>positive</x:v>
      </x:c>
      <x:c r="P311" s="24" t="str">
        <x:v>none</x:v>
      </x:c>
      <x:c r="Q311" s="24" t="str">
        <x:v>—</x:v>
      </x:c>
      <x:c r="R311" s="24" t="str">
        <x:v>—</x:v>
      </x:c>
      <x:c r="S311" s="24" t="str">
        <x:v>—</x:v>
      </x:c>
      <x:c r="T311" s="24" t="str">
        <x:v>bullish</x:v>
      </x:c>
      <x:c r="U311" s="24" t="str">
        <x:v>bullish</x:v>
      </x:c>
    </x:row>
  </x:sheetData>
  <x:mergeCells>
    <x:mergeCell ref="A1:U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42" hidden="0" customWidth="1"/>
    <x:col min="12" max="12" width="42" hidden="0" customWidth="1"/>
    <x:col min="13" max="13" width="34" hidden="0" customWidth="1"/>
    <x:col min="14" max="14" width="14" hidden="0" customWidth="1"/>
  </x:cols>
  <x:sheetData>
    <x:row r="1" ht="36" customHeight="1">
      <x:c r="A1" s="3" t="str">
        <x:v>원천 분석 기록 · Supabase</x:v>
      </x:c>
      <x:c r="B1" s="3" t="str">
        <x:v>원천 분석 기록 · Supabase</x:v>
      </x:c>
      <x:c r="C1" s="3" t="str">
        <x:v>원천 분석 기록 · Supabase</x:v>
      </x:c>
      <x:c r="D1" s="3" t="str">
        <x:v>원천 분석 기록 · Supabase</x:v>
      </x:c>
      <x:c r="E1" s="3" t="str">
        <x:v>원천 분석 기록 · Supabase</x:v>
      </x:c>
      <x:c r="F1" s="3" t="str">
        <x:v>원천 분석 기록 · Supabase</x:v>
      </x:c>
      <x:c r="G1" s="3" t="str">
        <x:v>원천 분석 기록 · Supabase</x:v>
      </x:c>
      <x:c r="H1" s="3" t="str">
        <x:v>원천 분석 기록 · Supabase</x:v>
      </x:c>
      <x:c r="I1" s="3" t="str">
        <x:v>원천 분석 기록 · Supabase</x:v>
      </x:c>
      <x:c r="J1" s="3" t="str">
        <x:v>원천 분석 기록 · Supabase</x:v>
      </x:c>
      <x:c r="K1" s="3" t="str">
        <x:v>원천 분석 기록 · Supabase</x:v>
      </x:c>
      <x:c r="L1" s="3" t="str">
        <x:v>원천 분석 기록 · Supabase</x:v>
      </x:c>
      <x:c r="M1" s="3" t="str">
        <x:v>원천 분석 기록 · Supabase</x:v>
      </x:c>
      <x:c r="N1" s="3" t="str">
        <x:v>원천 분석 기록 · Supabase</x:v>
      </x:c>
    </x:row>
    <x:row r="4" ht="32" customHeight="1">
      <x:c r="A4" s="15" t="str">
        <x:v>Analysis ID</x:v>
      </x:c>
      <x:c r="B4" s="16" t="str">
        <x:v>Ticker</x:v>
      </x:c>
      <x:c r="C4" s="16" t="str">
        <x:v>게시 시각</x:v>
      </x:c>
      <x:c r="D4" s="16" t="str">
        <x:v>분석가</x:v>
      </x:c>
      <x:c r="E4" s="16" t="str">
        <x:v>stance</x:v>
      </x:c>
      <x:c r="F4" s="16" t="str">
        <x:v>confidence</x:v>
      </x:c>
      <x:c r="G4" s="16" t="str">
        <x:v>review</x:v>
      </x:c>
      <x:c r="H4" s="16" t="str">
        <x:v>review reason</x:v>
      </x:c>
      <x:c r="I4" s="16" t="str">
        <x:v>change type</x:v>
      </x:c>
      <x:c r="J4" s="16" t="str">
        <x:v>claim type</x:v>
      </x:c>
      <x:c r="K4" s="16" t="str">
        <x:v>claim</x:v>
      </x:c>
      <x:c r="L4" s="16" t="str">
        <x:v>source text</x:v>
      </x:c>
      <x:c r="M4" s="16" t="str">
        <x:v>source URL</x:v>
      </x:c>
      <x:c r="N4" s="17" t="str">
        <x:v>state 반영</x:v>
      </x:c>
    </x:row>
    <x:row r="5" ht="60" customHeight="1">
      <x:c r="A5" s="22" t="n">
        <x:v>1142</x:v>
      </x:c>
      <x:c r="B5" s="22" t="str">
        <x:v>NVDA</x:v>
      </x:c>
      <x:c r="C5" s="52" t="n">
        <x:v>46172.566087962965</x:v>
      </x:c>
      <x:c r="D5" s="22" t="str">
        <x:v>StockSavvyShay</x:v>
      </x:c>
      <x:c r="E5" s="22" t="str">
        <x:v>bullish</x:v>
      </x:c>
      <x:c r="F5" s="33" t="n">
        <x:v>0.8</x:v>
      </x:c>
      <x:c r="G5" s="22" t="str">
        <x:v>auto</x:v>
      </x:c>
      <x:c r="H5" s="22"/>
      <x:c r="I5" s="22" t="str">
        <x:v>first_mention</x:v>
      </x:c>
      <x:c r="J5" s="22" t="str">
        <x:v>positioning</x:v>
      </x:c>
      <x:c r="K5" s="49" t="str">
        <x:v>강세 관점에서 주요 레벨을 주시해야 함</x:v>
      </x:c>
      <x:c r="L5" s="49" t="str">
        <x:v>KEY LEVELS TO WATCH FOR POPULAR STOCKS
• Bullish: $NVDA, $TSLA, $AMD, $MU, $AVGO, $NBIS, $ONDS, $AEHR, $CIFR, $RKLB, $ASTS, $IONQ, $IREN, $AAOI
• Hold: $PLTR, $HOOD, $SOFI
• Bearish: $OKLO, $HIMS, $OPEN https://t.co/4fOYDQWEjt</x:v>
      </x:c>
      <x:c r="M5" s="64" t="str">
        <x:v>https://x.com/StockSavvyShay/status/2060716649750364201</x:v>
      </x:c>
      <x:c r="N5" s="22" t="str">
        <x:v>vote 변경</x:v>
      </x:c>
    </x:row>
    <x:row r="6" ht="60" customHeight="1">
      <x:c r="A6" s="23" t="n">
        <x:v>1152</x:v>
      </x:c>
      <x:c r="B6" s="23" t="str">
        <x:v>ASTS</x:v>
      </x:c>
      <x:c r="C6" s="53" t="n">
        <x:v>46172.566087962965</x:v>
      </x:c>
      <x:c r="D6" s="23" t="str">
        <x:v>StockSavvyShay</x:v>
      </x:c>
      <x:c r="E6" s="23" t="str">
        <x:v>bullish</x:v>
      </x:c>
      <x:c r="F6" s="34" t="n">
        <x:v>0.8</x:v>
      </x:c>
      <x:c r="G6" s="23" t="str">
        <x:v>auto</x:v>
      </x:c>
      <x:c r="H6" s="23"/>
      <x:c r="I6" s="23" t="str">
        <x:v>first_mention</x:v>
      </x:c>
      <x:c r="J6" s="23" t="str">
        <x:v>positioning</x:v>
      </x:c>
      <x:c r="K6" s="50" t="str">
        <x:v>강세 관점에서 주요 레벨을 주시해야 함</x:v>
      </x:c>
      <x:c r="L6" s="50" t="str">
        <x:v>KEY LEVELS TO WATCH FOR POPULAR STOCKS
• Bullish: $NVDA, $TSLA, $AMD, $MU, $AVGO, $NBIS, $ONDS, $AEHR, $CIFR, $RKLB, $ASTS, $IONQ, $IREN, $AAOI
• Hold: $PLTR, $HOOD, $SOFI
• Bearish: $OKLO, $HIMS, $OPEN https://t.co/4fOYDQWEjt</x:v>
      </x:c>
      <x:c r="M6" s="65" t="str">
        <x:v>https://x.com/StockSavvyShay/status/2060716649750364201</x:v>
      </x:c>
      <x:c r="N6" s="23" t="str">
        <x:v>vote 변경</x:v>
      </x:c>
    </x:row>
    <x:row r="7" ht="60" customHeight="1">
      <x:c r="A7" s="23" t="n">
        <x:v>1155</x:v>
      </x:c>
      <x:c r="B7" s="23" t="str">
        <x:v>AAOI</x:v>
      </x:c>
      <x:c r="C7" s="53" t="n">
        <x:v>46172.566087962965</x:v>
      </x:c>
      <x:c r="D7" s="23" t="str">
        <x:v>StockSavvyShay</x:v>
      </x:c>
      <x:c r="E7" s="23" t="str">
        <x:v>bullish</x:v>
      </x:c>
      <x:c r="F7" s="34" t="n">
        <x:v>0.8</x:v>
      </x:c>
      <x:c r="G7" s="23" t="str">
        <x:v>auto</x:v>
      </x:c>
      <x:c r="H7" s="23"/>
      <x:c r="I7" s="23" t="str">
        <x:v>first_mention</x:v>
      </x:c>
      <x:c r="J7" s="23" t="str">
        <x:v>positioning</x:v>
      </x:c>
      <x:c r="K7" s="50" t="str">
        <x:v>강세 관점에서 주요 레벨을 주시해야 함</x:v>
      </x:c>
      <x:c r="L7" s="50" t="str">
        <x:v>KEY LEVELS TO WATCH FOR POPULAR STOCKS
• Bullish: $NVDA, $TSLA, $AMD, $MU, $AVGO, $NBIS, $ONDS, $AEHR, $CIFR, $RKLB, $ASTS, $IONQ, $IREN, $AAOI
• Hold: $PLTR, $HOOD, $SOFI
• Bearish: $OKLO, $HIMS, $OPEN https://t.co/4fOYDQWEjt</x:v>
      </x:c>
      <x:c r="M7" s="65" t="str">
        <x:v>https://x.com/StockSavvyShay/status/2060716649750364201</x:v>
      </x:c>
      <x:c r="N7" s="23" t="str">
        <x:v>vote 변경</x:v>
      </x:c>
    </x:row>
    <x:row r="8" ht="60" customHeight="1">
      <x:c r="A8" s="23" t="n">
        <x:v>1166</x:v>
      </x:c>
      <x:c r="B8" s="23" t="str">
        <x:v>ASTS</x:v>
      </x:c>
      <x:c r="C8" s="53" t="n">
        <x:v>46172.60358796296</x:v>
      </x:c>
      <x:c r="D8" s="23" t="str">
        <x:v>StockSavvyShay</x:v>
      </x:c>
      <x:c r="E8" s="23" t="str">
        <x:v>bullish</x:v>
      </x:c>
      <x:c r="F8" s="34" t="n">
        <x:v>0.8</x:v>
      </x:c>
      <x:c r="G8" s="23" t="str">
        <x:v>auto</x:v>
      </x:c>
      <x:c r="H8" s="23"/>
      <x:c r="I8" s="23" t="str">
        <x:v>first_mention</x:v>
      </x:c>
      <x:c r="J8" s="23" t="str">
        <x:v>thesis</x:v>
      </x:c>
      <x:c r="K8" s="50" t="str">
        <x:v>AST SpaceMobile은 D2D 순수 플레이로, AT&amp;T, Verizon, Vodafone, Rakuten 등 30억 가입자를 보유한 MNO 파트너십과 대구경 위상 배열 기술을 통해 표준 스마트폰에 직접 연결하는 가장 깨끗한 순수 플레이</x:v>
      </x:c>
      <x:c r="L8" s="50" t="str">
        <x:v>4 STOCKS BUILDING THE FUTURE OF SPACE CONNECTIVITY
The SpaceX IPO in two weeks will force the market to focus on the real monetization layer of space which is connectivity where $ASTS, $AMZN, $SPCX &amp; $IRDM generate actual recurring revenue from orbit:
1. AST SpaceMobile (D2D pure-play) 
• Cleanest pure-play in space-based cellular broadband with MNO partnerships covering 3 billion subscribers including AT&amp;T, Verizon, Vodafone &amp; Rakuten plus large-aperture phased array technology that connects directly to standard smartphones.
2. Amazon (integrated satellite stack) 
• Building one of the deepest satellite communications stacks through Amazon Leo with active constellation deployment, ~$12B $GSAT acquisition, $AAPL iPhone &amp; Apple Watch Emergency SOS partnership transferred to Amazon Leo plus $20B+ of capex committed through 2027.
3. SpaceX (Starlink plus launch ownership)
• Vertically integrated broadband leader through Starlink with largest satellite constellation in history covering ~65% of all operational satellites in space, 10M+ subscribers, $11.4B in 2025 revenue (+50% YoY) plus full ownership of launch stack through Falcon 9 reusability. 
4. Iridium (global LEO incumbent) 
• Operates only truly global LEO satellite network covering the entire planet with 66 satellites &amp; ~$918M in cumulative EMSS contracts with U.S. Space Force plus proprietary PNT services that serve as the most resilient alternative to GPS.</x:v>
      </x:c>
      <x:c r="M8" s="65" t="str">
        <x:v>https://x.com/StockSavvyShay/status/2060730239383486949</x:v>
      </x:c>
      <x:c r="N8" s="23" t="str">
        <x:v>vote 변경</x:v>
      </x:c>
    </x:row>
    <x:row r="9" ht="60" customHeight="1">
      <x:c r="A9" s="23" t="n">
        <x:v>1165</x:v>
      </x:c>
      <x:c r="B9" s="23" t="str">
        <x:v>NVDA</x:v>
      </x:c>
      <x:c r="C9" s="53" t="n">
        <x:v>46172.622199074074</x:v>
      </x:c>
      <x:c r="D9" s="23" t="str">
        <x:v>StockSavvyShay</x:v>
      </x:c>
      <x:c r="E9" s="23" t="str">
        <x:v>bullish</x:v>
      </x:c>
      <x:c r="F9" s="34" t="n">
        <x:v>0.7</x:v>
      </x:c>
      <x:c r="G9" s="23" t="str">
        <x:v>needs_review</x:v>
      </x:c>
      <x:c r="H9" s="23" t="str">
        <x:v>stance</x:v>
      </x:c>
      <x:c r="I9" s="23" t="str">
        <x:v>first_mention</x:v>
      </x:c>
      <x:c r="J9" s="23" t="str">
        <x:v>catalyst</x:v>
      </x:c>
      <x:c r="K9" s="50" t="str">
        <x:v>NVDA의 20억 달러 지분 투자와 Blackwell 및 Rubin 할당이 NBIS 성장의 주요 동인</x:v>
      </x:c>
      <x:c r="L9" s="50" t="str">
        <x:v>$NBIS is on pace to grow revenue more than 20x while generating nearly $35B across the next three years: 
• 2026: $3.4B (+550% YoY)
• 2027: $10.9B (+219% YoY)
• 2028: $20.4B (+85% YoY)
The growth is being driven by AI compute capacity tied to $MSFT $18B Azure AI inference contract, $META $27B Llama training deal &amp; $NVDA $2B equity investment for preferred Blackwell &amp; Rubin allocation.</x:v>
      </x:c>
      <x:c r="M9" s="65" t="str">
        <x:v>https://x.com/StockSavvyShay/status/2060736986563109259</x:v>
      </x:c>
      <x:c r="N9" s="23" t="str">
        <x:v>제외</x:v>
      </x:c>
    </x:row>
    <x:row r="10" ht="60" customHeight="1">
      <x:c r="A10" s="23" t="n">
        <x:v>187</x:v>
      </x:c>
      <x:c r="B10" s="23" t="str">
        <x:v>NVDA</x:v>
      </x:c>
      <x:c r="C10" s="53" t="n">
        <x:v>46176.333958333336</x:v>
      </x:c>
      <x:c r="D10" s="23" t="str">
        <x:v>aleabitoreddit</x:v>
      </x:c>
      <x:c r="E10" s="23" t="str">
        <x:v>neutral</x:v>
      </x:c>
      <x:c r="F10" s="34" t="n">
        <x:v>0.6</x:v>
      </x:c>
      <x:c r="G10" s="23" t="str">
        <x:v>needs_review</x:v>
      </x:c>
      <x:c r="H10" s="23" t="str">
        <x:v>stance</x:v>
      </x:c>
      <x:c r="I10" s="23" t="str">
        <x:v>repeat</x:v>
      </x:c>
      <x:c r="J10" s="23" t="str">
        <x:v>other</x:v>
      </x:c>
      <x:c r="K10" s="50" t="str">
        <x:v>엔비디아가 CPO NVlink 생태계를 구축 중이며, SIVE, LITE, COHR과 협력 중</x:v>
      </x:c>
      <x:c r="L10" s="50" t="str">
        <x:v>@OGCapital25 @Chi_w_wong It's expected Celestial and Lightmatter try and multi source. 
But maybe for gen-1 my guess is a lot sole source / primary source with $SIVE for the $NVDA CPO NVlink ecosystem. 
Nvidia has their own program with $LITE and $COHR.</x:v>
      </x:c>
      <x:c r="M10" s="65" t="str">
        <x:v>https://x.com/aleabitoreddit/status/2062082082265076045</x:v>
      </x:c>
      <x:c r="N10" s="23" t="str">
        <x:v>제외</x:v>
      </x:c>
    </x:row>
    <x:row r="11" ht="60" customHeight="1">
      <x:c r="A11" s="23" t="n">
        <x:v>190</x:v>
      </x:c>
      <x:c r="B11" s="23" t="str">
        <x:v>NVDA</x:v>
      </x:c>
      <x:c r="C11" s="53" t="n">
        <x:v>46176.34180555555</x:v>
      </x:c>
      <x:c r="D11" s="23" t="str">
        <x:v>aleabitoreddit</x:v>
      </x:c>
      <x:c r="E11" s="23" t="str">
        <x:v>neutral</x:v>
      </x:c>
      <x:c r="F11" s="34" t="n">
        <x:v>0.5</x:v>
      </x:c>
      <x:c r="G11" s="23" t="str">
        <x:v>needs_review</x:v>
      </x:c>
      <x:c r="H11" s="23" t="str">
        <x:v>stance</x:v>
      </x:c>
      <x:c r="I11" s="23" t="str">
        <x:v>unclear</x:v>
      </x:c>
      <x:c r="J11" s="23" t="str">
        <x:v>other</x:v>
      </x:c>
      <x:c r="K11" s="50" t="str">
        <x:v>NVDA는 직접적인 관련이 있지만, 분석 대상은 ASIC/머천트 NVLink CPO 생태계 파트너임</x:v>
      </x:c>
      <x:c r="L11" s="50" t="str">
        <x:v>@siflower That's $NVDA directly. I'm talking about the ASIC/merchant NVLink CPO ecosystem partners. 
Where $SIVE looks like they're the supplier to everyone.</x:v>
      </x:c>
      <x:c r="M11" s="65" t="str">
        <x:v>https://x.com/aleabitoreddit/status/2062084925445284078</x:v>
      </x:c>
      <x:c r="N11" s="23" t="str">
        <x:v>제외</x:v>
      </x:c>
    </x:row>
    <x:row r="12" ht="60" customHeight="1">
      <x:c r="A12" s="23" t="n">
        <x:v>214</x:v>
      </x:c>
      <x:c r="B12" s="23" t="str">
        <x:v>NVDA</x:v>
      </x:c>
      <x:c r="C12" s="53" t="n">
        <x:v>46177.31260416667</x:v>
      </x:c>
      <x:c r="D12" s="23" t="str">
        <x:v>aleabitoreddit</x:v>
      </x:c>
      <x:c r="E12" s="23" t="str">
        <x:v>neutral</x:v>
      </x:c>
      <x:c r="F12" s="34" t="n">
        <x:v>0.8</x:v>
      </x:c>
      <x:c r="G12" s="23" t="str">
        <x:v>auto</x:v>
      </x:c>
      <x:c r="H12" s="23"/>
      <x:c r="I12" s="23" t="str">
        <x:v>repeat</x:v>
      </x:c>
      <x:c r="J12" s="23" t="str">
        <x:v>other</x:v>
      </x:c>
      <x:c r="K12" s="50" t="str">
        <x:v>내부자 매도는 펀더멘털에 영향을 미치지 않는다.</x:v>
      </x:c>
      <x:c r="L12" s="50" t="str">
        <x:v>I’ve repeated this for every single stock, but insider selling means literally nothing.
A managing director of wireless transferring ownership over to US investors doesn’t change any fundamentals about the business.
CEO of $NVDA and $MU sell shares all the time but nobody bats an eye for a reason</x:v>
      </x:c>
      <x:c r="M12" s="65" t="str">
        <x:v>https://x.com/aleabitoreddit/status/2062436730549248036</x:v>
      </x:c>
      <x:c r="N12" s="23" t="str">
        <x:v>근거만</x:v>
      </x:c>
    </x:row>
    <x:row r="13" ht="60" customHeight="1">
      <x:c r="A13" s="23" t="n">
        <x:v>231</x:v>
      </x:c>
      <x:c r="B13" s="23" t="str">
        <x:v>NVDA</x:v>
      </x:c>
      <x:c r="C13" s="53" t="n">
        <x:v>46177.3928125</x:v>
      </x:c>
      <x:c r="D13" s="23" t="str">
        <x:v>aleabitoreddit</x:v>
      </x:c>
      <x:c r="E13" s="23" t="str">
        <x:v>neutral</x:v>
      </x:c>
      <x:c r="F13" s="34" t="n">
        <x:v>0.5</x:v>
      </x:c>
      <x:c r="G13" s="23" t="str">
        <x:v>needs_review</x:v>
      </x:c>
      <x:c r="H13" s="23" t="str">
        <x:v>stance</x:v>
      </x:c>
      <x:c r="I13" s="23" t="str">
        <x:v>first_mention</x:v>
      </x:c>
      <x:c r="J13" s="23" t="str">
        <x:v>other</x:v>
      </x:c>
      <x:c r="K13" s="50" t="str">
        <x:v>엔비디아가 AI에 집중하며 게이머를 소홀히 했지만, 이번 젠슨 황과 페이커의 만남은 게이머로의 회귀를 상징하는 메시지다.</x:v>
      </x:c>
      <x:c r="L13" s="50" t="str">
        <x:v>This timeline keeps getting more and more unreal…
$NVDA Jensen Huang to meet Faker (League of Legends)
I did talk with Jensen few years back about PUBG and GPU shortages for mining. 
And he was enthusiastic about ideas for cross-platform gaming + getting enough allocation to gamers.
Fast forward to now, feels like Nvidia kinda ignored gamers… for AI, which is understandable. 
So this is a nice symbolic message for a return to Nvidia’s roots.</x:v>
      </x:c>
      <x:c r="M13" s="65" t="str">
        <x:v>https://x.com/aleabitoreddit/status/2062465797558292937</x:v>
      </x:c>
      <x:c r="N13" s="23" t="str">
        <x:v>제외</x:v>
      </x:c>
    </x:row>
    <x:row r="14" ht="60" customHeight="1">
      <x:c r="A14" s="23" t="n">
        <x:v>250</x:v>
      </x:c>
      <x:c r="B14" s="23" t="str">
        <x:v>AAOI</x:v>
      </x:c>
      <x:c r="C14" s="53" t="n">
        <x:v>46178.03256944445</x:v>
      </x:c>
      <x:c r="D14" s="23" t="str">
        <x:v>aleabitoreddit</x:v>
      </x:c>
      <x:c r="E14" s="23" t="str">
        <x:v>bullish</x:v>
      </x:c>
      <x:c r="F14" s="34" t="n">
        <x:v>1</x:v>
      </x:c>
      <x:c r="G14" s="23" t="str">
        <x:v>auto</x:v>
      </x:c>
      <x:c r="H14" s="23"/>
      <x:c r="I14" s="23" t="str">
        <x:v>first_mention</x:v>
      </x:c>
      <x:c r="J14" s="23" t="str">
        <x:v>thesis</x:v>
      </x:c>
      <x:c r="K14" s="50" t="str">
        <x:v>AAOI는 800G/1.6T 광트랜시버 수요 증가, 수직 통합, AMD/NVDA와의 협력 가능성, 가격 인상 및 마진 확대 등으로 인해 주가가 2~3배 상승할 가능성이 있음.</x:v>
      </x:c>
      <x:c r="L14" s="50" t="str">
        <x:v>$AAOI is one of the names I keep averaging up on since $28.
Just from random shower thoughts… I feel like it’s just imminent to double or triple if they execute? 
There’s just too much demand for 800g/1.6T optical transceivers… 
Then this company is targeting the largest capacity in the US, with extreme vertical integration.
I think something to keep in mind is sovereign DCs / T2 AI DCs which increase the demand for 800g as hyperscalers  upgrade to 1.6T. 
So demand for 800g can actually keep increasing… 
Then there’s the analyst rumors of $AAOI conversations with $AMD / $NVDA. Which is kinda expected given everyone is getting their capacity allocated way into 2028. 
Nvidia always starts first and causes bottlenecks for everyone else as seen with EML, so not surprising if another hyperscaler learned their lesson this time?
Also, everyone seems to be modeling lower ASP at scale. But if this ends up a major bottleneck H1 next year as expected…
Could see unexpected price hikes + margin expansion across the board from $AAOI, $LITE, and others not really modeled in.</x:v>
      </x:c>
      <x:c r="M14" s="65" t="str">
        <x:v>https://x.com/aleabitoreddit/status/2062697638500462639</x:v>
      </x:c>
      <x:c r="N14" s="23" t="str">
        <x:v>vote 변경</x:v>
      </x:c>
    </x:row>
    <x:row r="15" ht="60" customHeight="1">
      <x:c r="A15" s="23" t="n">
        <x:v>272</x:v>
      </x:c>
      <x:c r="B15" s="23" t="str">
        <x:v>AAOI</x:v>
      </x:c>
      <x:c r="C15" s="53" t="n">
        <x:v>46178.396365740744</x:v>
      </x:c>
      <x:c r="D15" s="23" t="str">
        <x:v>aleabitoreddit</x:v>
      </x:c>
      <x:c r="E15" s="23" t="str">
        <x:v>bullish</x:v>
      </x:c>
      <x:c r="F15" s="34" t="n">
        <x:v>0.9</x:v>
      </x:c>
      <x:c r="G15" s="23" t="str">
        <x:v>auto</x:v>
      </x:c>
      <x:c r="H15" s="23"/>
      <x:c r="I15" s="23" t="str">
        <x:v>first_mention</x:v>
      </x:c>
      <x:c r="J15" s="23" t="str">
        <x:v>positioning</x:v>
      </x:c>
      <x:c r="K15" s="50" t="str">
        <x:v>현재 가장 선호하는 미국 롱 포지션</x:v>
      </x:c>
      <x:c r="L15" s="50" t="str">
        <x:v>$AAOI is my current favorite US long.
I personally cost average recently whenever it dips to $150, or even $170.
$JBL should preform really well once they’re 1.6T LRO goes mass production with $SIVE h1 2027 imo. Also talked about $RDDT today. 
$MRVL if you think it hits $1T and follow along Jensen.</x:v>
      </x:c>
      <x:c r="M15" s="65" t="str">
        <x:v>https://x.com/aleabitoreddit/status/2062829471519101173</x:v>
      </x:c>
      <x:c r="N15" s="23" t="str">
        <x:v>vote 변경</x:v>
      </x:c>
    </x:row>
    <x:row r="16" ht="60" customHeight="1">
      <x:c r="A16" s="23" t="n">
        <x:v>285</x:v>
      </x:c>
      <x:c r="B16" s="23" t="str">
        <x:v>NVDA</x:v>
      </x:c>
      <x:c r="C16" s="53" t="n">
        <x:v>46178.60392361111</x:v>
      </x:c>
      <x:c r="D16" s="23" t="str">
        <x:v>aleabitoreddit</x:v>
      </x:c>
      <x:c r="E16" s="23" t="str">
        <x:v>bullish</x:v>
      </x:c>
      <x:c r="F16" s="34" t="n">
        <x:v>0.7</x:v>
      </x:c>
      <x:c r="G16" s="23" t="str">
        <x:v>needs_review</x:v>
      </x:c>
      <x:c r="H16" s="23" t="str">
        <x:v>stance</x:v>
      </x:c>
      <x:c r="I16" s="23" t="str">
        <x:v>first_mention</x:v>
      </x:c>
      <x:c r="J16" s="23" t="str">
        <x:v>catalyst</x:v>
      </x:c>
      <x:c r="K16" s="50" t="str">
        <x:v>NVDA의 NVLink CPO 생태계가 2027년 하반기에 주요 확장</x:v>
      </x:c>
      <x:c r="L16" s="50" t="str">
        <x:v>H1 2027 all the 1.6T pluggable players like $JBL. 
Maybe Innolight/Eoptolink and other pluggable players are added too. We'll find out soon since $SIVE said there were undisclosed pluggable players they're working with. 
H2 2027 for all the main CPO scale up applications from $NVDA NVLink CPO ecosystem players like Ayar.
Markets are forward looking ~8M in advance usually.</x:v>
      </x:c>
      <x:c r="M16" s="65" t="str">
        <x:v>https://x.com/aleabitoreddit/status/2062904689730175177</x:v>
      </x:c>
      <x:c r="N16" s="23" t="str">
        <x:v>제외</x:v>
      </x:c>
    </x:row>
    <x:row r="17" ht="60" customHeight="1">
      <x:c r="A17" s="23" t="n">
        <x:v>281</x:v>
      </x:c>
      <x:c r="B17" s="23" t="str">
        <x:v>AAOI</x:v>
      </x:c>
      <x:c r="C17" s="53" t="n">
        <x:v>46178.60607638889</x:v>
      </x:c>
      <x:c r="D17" s="23" t="str">
        <x:v>aleabitoreddit</x:v>
      </x:c>
      <x:c r="E17" s="23" t="str">
        <x:v>bullish</x:v>
      </x:c>
      <x:c r="F17" s="34" t="n">
        <x:v>0.7</x:v>
      </x:c>
      <x:c r="G17" s="23" t="str">
        <x:v>needs_review</x:v>
      </x:c>
      <x:c r="H17" s="23" t="str">
        <x:v>stance</x:v>
      </x:c>
      <x:c r="I17" s="23" t="str">
        <x:v>first_mention</x:v>
      </x:c>
      <x:c r="J17" s="23" t="str">
        <x:v>thesis</x:v>
      </x:c>
      <x:c r="K17" s="50" t="str">
        <x:v>AAOI는 CPO(Co-Packaged Optics) 노출이 있어 광자학 관련주로 분류됨.</x:v>
      </x:c>
      <x:c r="L17" s="50" t="str">
        <x:v>@awodias No, $AAOI is primarily pluggable exposure. But they have large exposure to CPO too, hence why I included the word photonics. 
Second favorite pure play CPO exposure would be FOCI for me.</x:v>
      </x:c>
      <x:c r="M17" s="65" t="str">
        <x:v>https://x.com/aleabitoreddit/status/2062905469006696714</x:v>
      </x:c>
      <x:c r="N17" s="23" t="str">
        <x:v>제외</x:v>
      </x:c>
    </x:row>
    <x:row r="18" ht="60" customHeight="1">
      <x:c r="A18" s="23" t="n">
        <x:v>638</x:v>
      </x:c>
      <x:c r="B18" s="23" t="str">
        <x:v>AAOI</x:v>
      </x:c>
      <x:c r="C18" s="53" t="n">
        <x:v>46178.60909722222</x:v>
      </x:c>
      <x:c r="D18" s="23" t="str">
        <x:v>aleabitoreddit</x:v>
      </x:c>
      <x:c r="E18" s="23" t="str">
        <x:v>bullish</x:v>
      </x:c>
      <x:c r="F18" s="34" t="n">
        <x:v>0.8</x:v>
      </x:c>
      <x:c r="G18" s="23" t="str">
        <x:v>needs_review</x:v>
      </x:c>
      <x:c r="H18" s="23" t="str">
        <x:v>claim</x:v>
      </x:c>
      <x:c r="I18" s="23" t="str">
        <x:v>first_mention</x:v>
      </x:c>
      <x:c r="J18" s="23" t="str">
        <x:v>thesis</x:v>
      </x:c>
      <x:c r="K18" s="50" t="str">
        <x:v>CPO 분야 2위 기업으로 선호</x:v>
      </x:c>
      <x:c r="L18" s="50" t="str">
        <x:v>$SIVE is #1, $AAOI is #2 used wrong wording above. 
Generally a fan of:
- $SIVE (CPO lasers)
- $AAOI (End-to-End pluggable/cpo)
- Foci (FAU +passive components $TSM COUPE / $NVDA)
- Shunsin (Packaging/Test)
- Win Semi (foundry)
- $TSEM (foundry)
- $SOI (silicon photonics)
- Nextronics (CPO connector / cage thermal module)
And a few others.</x:v>
      </x:c>
      <x:c r="M18" s="65" t="str">
        <x:v>https://x.com/aleabitoreddit/status/2062906565850747194</x:v>
      </x:c>
      <x:c r="N18" s="23" t="str">
        <x:v>제외</x:v>
      </x:c>
    </x:row>
    <x:row r="19" ht="60" customHeight="1">
      <x:c r="A19" s="23" t="n">
        <x:v>289</x:v>
      </x:c>
      <x:c r="B19" s="23" t="str">
        <x:v>NVDA</x:v>
      </x:c>
      <x:c r="C19" s="53" t="n">
        <x:v>46178.66594907407</x:v>
      </x:c>
      <x:c r="D19" s="23" t="str">
        <x:v>aleabitoreddit</x:v>
      </x:c>
      <x:c r="E19" s="23" t="str">
        <x:v>bullish</x:v>
      </x:c>
      <x:c r="F19" s="34" t="n">
        <x:v>0.8</x:v>
      </x:c>
      <x:c r="G19" s="23" t="str">
        <x:v>auto</x:v>
      </x:c>
      <x:c r="H19" s="23"/>
      <x:c r="I19" s="23" t="str">
        <x:v>repeat</x:v>
      </x:c>
      <x:c r="J19" s="23" t="str">
        <x:v>positioning</x:v>
      </x:c>
      <x:c r="K19" s="50" t="str">
        <x:v>시장 조정에도 불구하고 AI 빌드아웃은 변함없어 장기 보유 유지</x:v>
      </x:c>
      <x:c r="L19" s="50" t="str">
        <x:v>Fun times with market corrections.  
Leaders from $NVDA down -4.87% to $MU down -7.03%. High beta names like $PL down -22.02%. 
Funny to see media always trying to explain like: 
"Micron suffers record wipeout as Broadcom casts a shadow over chip stocks "
Broadcom projected insatiable demand into 2028, just made up narratives. Nothing's changed the AI buildout aside from increasing capex. 
Main material thing was rate hike probabilities increase.
But you have random ones like these few times a year into ATHs. 
Personally wouldn't try and trade fed decision probabilities and stay long on current company projections (eg. $AAOI $471m h1 2027)</x:v>
      </x:c>
      <x:c r="M19" s="65" t="str">
        <x:v>https://x.com/aleabitoreddit/status/2062927167936504133</x:v>
      </x:c>
      <x:c r="N19" s="23" t="str">
        <x:v>vote 변경</x:v>
      </x:c>
    </x:row>
    <x:row r="20" ht="60" customHeight="1">
      <x:c r="A20" s="23" t="n">
        <x:v>292</x:v>
      </x:c>
      <x:c r="B20" s="23" t="str">
        <x:v>AAOI</x:v>
      </x:c>
      <x:c r="C20" s="53" t="n">
        <x:v>46178.66594907407</x:v>
      </x:c>
      <x:c r="D20" s="23" t="str">
        <x:v>aleabitoreddit</x:v>
      </x:c>
      <x:c r="E20" s="23" t="str">
        <x:v>bullish</x:v>
      </x:c>
      <x:c r="F20" s="34" t="n">
        <x:v>0.8</x:v>
      </x:c>
      <x:c r="G20" s="23" t="str">
        <x:v>auto</x:v>
      </x:c>
      <x:c r="H20" s="23"/>
      <x:c r="I20" s="23" t="str">
        <x:v>first_mention</x:v>
      </x:c>
      <x:c r="J20" s="23" t="str">
        <x:v>growth</x:v>
      </x:c>
      <x:c r="K20" s="50" t="str">
        <x:v>회사 전망에 따라 장기 보유, 2027년 상반기 4.71억 달러 매출 전망</x:v>
      </x:c>
      <x:c r="L20" s="50" t="str">
        <x:v>Fun times with market corrections.  
Leaders from $NVDA down -4.87% to $MU down -7.03%. High beta names like $PL down -22.02%. 
Funny to see media always trying to explain like: 
"Micron suffers record wipeout as Broadcom casts a shadow over chip stocks "
Broadcom projected insatiable demand into 2028, just made up narratives. Nothing's changed the AI buildout aside from increasing capex. 
Main material thing was rate hike probabilities increase.
But you have random ones like these few times a year into ATHs. 
Personally wouldn't try and trade fed decision probabilities and stay long on current company projections (eg. $AAOI $471m h1 2027)</x:v>
      </x:c>
      <x:c r="M20" s="65" t="str">
        <x:v>https://x.com/aleabitoreddit/status/2062927167936504133</x:v>
      </x:c>
      <x:c r="N20" s="23" t="str">
        <x:v>vote 변경</x:v>
      </x:c>
    </x:row>
    <x:row r="21" ht="60" customHeight="1">
      <x:c r="A21" s="23" t="n">
        <x:v>293</x:v>
      </x:c>
      <x:c r="B21" s="23" t="str">
        <x:v>NVDA</x:v>
      </x:c>
      <x:c r="C21" s="53" t="n">
        <x:v>46178.68777777778</x:v>
      </x:c>
      <x:c r="D21" s="23" t="str">
        <x:v>aleabitoreddit</x:v>
      </x:c>
      <x:c r="E21" s="23" t="str">
        <x:v>bearish</x:v>
      </x:c>
      <x:c r="F21" s="34" t="n">
        <x:v>0.8</x:v>
      </x:c>
      <x:c r="G21" s="23" t="str">
        <x:v>auto</x:v>
      </x:c>
      <x:c r="H21" s="23"/>
      <x:c r="I21" s="23" t="str">
        <x:v>new_claim</x:v>
      </x:c>
      <x:c r="J21" s="23" t="str">
        <x:v>thesis</x:v>
      </x:c>
      <x:c r="K21" s="50" t="str">
        <x:v>장기적으로 NVDA의 성장은 하이퍼스케일러 ASIC에 의해 잠식될 것이며, 현재의 높은 성장률은 지속되기 어렵다.</x:v>
      </x:c>
      <x:c r="L21" s="50" t="str">
        <x:v>hmm, i prefer all your upstream chokepoints over $NVDA long term since those will be re-rated the most (nvidia already largest company in the world)
pretty sure hyperscaler ASICs would eventually siphon off $NVDA demand like $GOOGL TPU, $AMZN trainium programs. wouldn't be too positive for expontentially compounding revenue growth since hyperscalers were Nvidia's original main revenue stream (even indirect via Neoclouds). 
But $NVDA's kinda stalling everyone elses buildout by bottlenecking their programs eg. EML/laser capacity agreements years out too. And took stakes in $MRVL / $LITE / $COHR / $INTC etc. making them adopt to $NVDA standards or just owning a large %. 
So even if they're delaying other programs + their biggest growth vector kinda falls off one day, like how things are shifting already shifting to ASICs for inference. 
They'll still probably be fine given ownership stakes + will serve companies/countries outside of hyperscaler cash cows (just less revenue)+  made so much before then. 
But that's probably why p/e keeps going down despite revenues going up, since idk if markets thinks that growth will last forever. 
Or could be totally wrong and they just keep leapfrogging generation by generation + AI pie keeps growing with Jensen's 4T 2030 capex number.</x:v>
      </x:c>
      <x:c r="M21" s="65" t="str">
        <x:v>https://x.com/aleabitoreddit/status/2062935078561624292</x:v>
      </x:c>
      <x:c r="N21" s="23" t="str">
        <x:v>vote 변경</x:v>
      </x:c>
    </x:row>
    <x:row r="22" ht="60" customHeight="1">
      <x:c r="A22" s="23" t="n">
        <x:v>320</x:v>
      </x:c>
      <x:c r="B22" s="23" t="str">
        <x:v>AAOI</x:v>
      </x:c>
      <x:c r="C22" s="53" t="n">
        <x:v>46180.45039351852</x:v>
      </x:c>
      <x:c r="D22" s="23" t="str">
        <x:v>aleabitoreddit</x:v>
      </x:c>
      <x:c r="E22" s="23" t="str">
        <x:v>bullish</x:v>
      </x:c>
      <x:c r="F22" s="34" t="n">
        <x:v>0.9</x:v>
      </x:c>
      <x:c r="G22" s="23" t="str">
        <x:v>auto</x:v>
      </x:c>
      <x:c r="H22" s="23"/>
      <x:c r="I22" s="23" t="str">
        <x:v>first_mention</x:v>
      </x:c>
      <x:c r="J22" s="23" t="str">
        <x:v>catalyst</x:v>
      </x:c>
      <x:c r="K22" s="50" t="str">
        <x:v>AAOI의 6억 달러 ATM을 통한 레이저 팹 증설은 주당 가치를 높이는 희석이다.</x:v>
      </x:c>
      <x:c r="L22" s="50" t="str">
        <x:v>Not all dilution is bad and depends on what structure.  
If you're doing a $600m ATM to build out laser fab capacity with $AAOI for $471m / month H1 2027 (at lower MC ranges), then that's accretive. 
If you're diluting 15% for NASDAQ listing requirements with $SIVE, and using proceeds for M&amp;A, that's accretive. 
If you're diluting with $IQE and doing private placements with $MTSI to wipe off old toxic debt, that's accretive.  
If you're diluting $6,000,000,000 with $IREN, and likely selling that into the open market on every rally off the backs of $SLNH / $BKKT shills where majority of those retail went to 0, then that's predatory.</x:v>
      </x:c>
      <x:c r="M22" s="65" t="str">
        <x:v>https://x.com/aleabitoreddit/status/2063573828928954442</x:v>
      </x:c>
      <x:c r="N22" s="23" t="str">
        <x:v>vote 변경</x:v>
      </x:c>
    </x:row>
    <x:row r="23" ht="60" customHeight="1">
      <x:c r="A23" s="23" t="n">
        <x:v>327</x:v>
      </x:c>
      <x:c r="B23" s="23" t="str">
        <x:v>NVDA</x:v>
      </x:c>
      <x:c r="C23" s="53" t="n">
        <x:v>46180.47806712963</x:v>
      </x:c>
      <x:c r="D23" s="23" t="str">
        <x:v>aleabitoreddit</x:v>
      </x:c>
      <x:c r="E23" s="23" t="str">
        <x:v>bullish</x:v>
      </x:c>
      <x:c r="F23" s="34" t="n">
        <x:v>0.7</x:v>
      </x:c>
      <x:c r="G23" s="23" t="str">
        <x:v>needs_review</x:v>
      </x:c>
      <x:c r="H23" s="23" t="str">
        <x:v>stance</x:v>
      </x:c>
      <x:c r="I23" s="23" t="str">
        <x:v>new_claim</x:v>
      </x:c>
      <x:c r="J23" s="23" t="str">
        <x:v>catalyst</x:v>
      </x:c>
      <x:c r="K23" s="50" t="str">
        <x:v>메모리 부족 지속 전망은 AI 인프라 수요 강세를 확인시켜주며, 이는 NVDA의 성장 동력에 긍정적</x:v>
      </x:c>
      <x:c r="L23" s="50" t="str">
        <x:v>Oh look… $NVDA CEO warned memory shortage is expected to persist for many years, due to massive scaling demand of AI infrastructure.
With further announcements tomorrow.
$MU and $EWY (Samsung/SK Hynix) operating profit projections aren’t looking too crazy anymore? https://t.co/OvjyrifRtO https://t.co/ozmd2ILXCx</x:v>
      </x:c>
      <x:c r="M23" s="65" t="str">
        <x:v>https://x.com/aleabitoreddit/status/2063583856025108986</x:v>
      </x:c>
      <x:c r="N23" s="23" t="str">
        <x:v>제외</x:v>
      </x:c>
    </x:row>
    <x:row r="24" ht="60" customHeight="1">
      <x:c r="A24" s="23" t="n">
        <x:v>330</x:v>
      </x:c>
      <x:c r="B24" s="23" t="str">
        <x:v>NVDA</x:v>
      </x:c>
      <x:c r="C24" s="53" t="n">
        <x:v>46180.531909722224</x:v>
      </x:c>
      <x:c r="D24" s="23" t="str">
        <x:v>aleabitoreddit</x:v>
      </x:c>
      <x:c r="E24" s="23" t="str">
        <x:v>bullish</x:v>
      </x:c>
      <x:c r="F24" s="34" t="n">
        <x:v>0.7</x:v>
      </x:c>
      <x:c r="G24" s="23" t="str">
        <x:v>needs_review</x:v>
      </x:c>
      <x:c r="H24" s="23" t="str">
        <x:v>stance</x:v>
      </x:c>
      <x:c r="I24" s="23" t="str">
        <x:v>new_claim</x:v>
      </x:c>
      <x:c r="J24" s="23" t="str">
        <x:v>catalyst</x:v>
      </x:c>
      <x:c r="K24" s="50" t="str">
        <x:v>CEO가 실리콘 포토닉스 수요가 '상상을 초월하는 공급량'이 될 것이라고 언급하여 관련 공급망에 강세 신호를 줌.</x:v>
      </x:c>
      <x:c r="L24" s="50" t="str">
        <x:v>On top: $NVDA CEO also called out Silicon Photonics (optical networking) with memory. 
Stating that Nvidia would require “supply volumes beyond imagination”.
What a bullish read through on the SiPH supply chain from $SIVE (now upstream Nvidia ecosystem) to $SOI https://t.co/m6jub4nfzx https://t.co/VhGfnaTpzh</x:v>
      </x:c>
      <x:c r="M24" s="65" t="str">
        <x:v>https://x.com/aleabitoreddit/status/2063603368178938193</x:v>
      </x:c>
      <x:c r="N24" s="23" t="str">
        <x:v>제외</x:v>
      </x:c>
    </x:row>
    <x:row r="25" ht="60" customHeight="1">
      <x:c r="A25" s="23" t="n">
        <x:v>508</x:v>
      </x:c>
      <x:c r="B25" s="23" t="str">
        <x:v>AAOI</x:v>
      </x:c>
      <x:c r="C25" s="53" t="n">
        <x:v>46181.59921296296</x:v>
      </x:c>
      <x:c r="D25" s="23" t="str">
        <x:v>aleabitoreddit</x:v>
      </x:c>
      <x:c r="E25" s="23" t="str">
        <x:v>bullish</x:v>
      </x:c>
      <x:c r="F25" s="34" t="n">
        <x:v>0.9</x:v>
      </x:c>
      <x:c r="G25" s="23" t="str">
        <x:v>needs_review</x:v>
      </x:c>
      <x:c r="H25" s="23" t="str">
        <x:v>claim</x:v>
      </x:c>
      <x:c r="I25" s="23" t="str">
        <x:v>first_mention</x:v>
      </x:c>
      <x:c r="J25" s="23" t="str">
        <x:v>growth</x:v>
      </x:c>
      <x:c r="K25" s="50" t="str">
        <x:v>AAOI는 앞으로 더 오를 여지가 많다.</x:v>
      </x:c>
      <x:c r="L25" s="50" t="str">
        <x:v>@0xHyperEVM Yeah $MRVL was $87 or so, $ARM was $130. 
$87 -&amp;gt; $288 for Marvell
$134 -&amp;gt; $347 for Arm
not too shabby for my names? I still think many have a toooon of room to go like $AAOI.</x:v>
      </x:c>
      <x:c r="M25" s="65" t="str">
        <x:v>https://x.com/aleabitoreddit/status/2063990145293168854</x:v>
      </x:c>
      <x:c r="N25" s="23" t="str">
        <x:v>제외</x:v>
      </x:c>
    </x:row>
    <x:row r="26" ht="60" customHeight="1">
      <x:c r="A26" s="23" t="n">
        <x:v>356</x:v>
      </x:c>
      <x:c r="B26" s="23" t="str">
        <x:v>AAOI</x:v>
      </x:c>
      <x:c r="C26" s="53" t="n">
        <x:v>46182.280636574076</x:v>
      </x:c>
      <x:c r="D26" s="23" t="str">
        <x:v>aleabitoreddit</x:v>
      </x:c>
      <x:c r="E26" s="23" t="str">
        <x:v>bearish</x:v>
      </x:c>
      <x:c r="F26" s="34" t="n">
        <x:v>0.7</x:v>
      </x:c>
      <x:c r="G26" s="23" t="str">
        <x:v>needs_review</x:v>
      </x:c>
      <x:c r="H26" s="23" t="str">
        <x:v>stance</x:v>
      </x:c>
      <x:c r="I26" s="23" t="str">
        <x:v>first_mention</x:v>
      </x:c>
      <x:c r="J26" s="23" t="str">
        <x:v>valuation</x:v>
      </x:c>
      <x:c r="K26" s="50" t="str">
        <x:v>AAOI는 레이저 팹을 위한 자본 지출(ATM)이 JBL의 접근 방식보다 확장성이 떨어짐.</x:v>
      </x:c>
      <x:c r="L26" s="50" t="str">
        <x:v>Just a random thought: $JBL seems highkey compelling long idea at $38B.
Don’t really think markets have priced in their 1.6T LRO pluggable transceiver business yet.
Especially if it’s “how much can you make” with $SIVE as the bottleneck H1 2027. Not really is there enough demand. 
They already have the massive supply chains setup… and took over $INTC pluggable lines.
Seems more scalable than $AAOI capex ATMs for laser fabs, if you have $SIVE + tons of different fabs like Win Semi + others mass producing lasers and $JBL doing the rest. 
So you’re getting that  Innolight style setup for free (with US premiums), with an already validated hyperscaler supply chain. 
Don’t currently have positions, just throwing out a thought for others to do research on. 
Prob H1 2027 is when everyone starts realizing. Maybe 40% rereating seems plausible? 
(dont have any open positions, just a thought)</x:v>
      </x:c>
      <x:c r="M26" s="65" t="str">
        <x:v>https://x.com/aleabitoreddit/status/2064237083510952402</x:v>
      </x:c>
      <x:c r="N26" s="23" t="str">
        <x:v>제외</x:v>
      </x:c>
    </x:row>
    <x:row r="27" ht="60" customHeight="1">
      <x:c r="A27" s="23" t="n">
        <x:v>790</x:v>
      </x:c>
      <x:c r="B27" s="23" t="str">
        <x:v>AAOI</x:v>
      </x:c>
      <x:c r="C27" s="53" t="n">
        <x:v>46182.49475694444</x:v>
      </x:c>
      <x:c r="D27" s="23" t="str">
        <x:v>aleabitoreddit</x:v>
      </x:c>
      <x:c r="E27" s="23" t="str">
        <x:v>bullish</x:v>
      </x:c>
      <x:c r="F27" s="34" t="n">
        <x:v>0.8</x:v>
      </x:c>
      <x:c r="G27" s="23" t="str">
        <x:v>auto</x:v>
      </x:c>
      <x:c r="H27" s="23"/>
      <x:c r="I27" s="23" t="str">
        <x:v>first_mention</x:v>
      </x:c>
      <x:c r="J27" s="23" t="str">
        <x:v>valuation</x:v>
      </x:c>
      <x:c r="K27" s="50" t="str">
        <x:v>AI 노출 중소형주로서 ARM, MRVL 대비 매력적인 ROI 가능성, 본인 보유 종목</x:v>
      </x:c>
      <x:c r="L27" s="50" t="str">
        <x:v>Names like:
- $ASX
- Sumitomo Electric
- $JBL
- $VICR
- $GFS 
- $AAOI 
- AlChip 
- $TSEM
- $FN
- Furukawa Electric
- $CLS
- $NBIS
- $NOK
- $AMKR
- $LITE
- $COHR
Off the top of my head.
So basically, AI exposure trading in the $10-100B range.
Likely have compelling ROI right now compared to indexes or $ARM to $MRVL that ran quite a bit? 
(Just a disclosure, only have financial interest in NBIS/TSEM/AAOI above)
I mention a lot of smaller ideas, but that’s just to chase outsized returns.
Still feels like many of these have room to go.</x:v>
      </x:c>
      <x:c r="M27" s="65" t="str">
        <x:v>https://x.com/aleabitoreddit/status/2064314680521507114</x:v>
      </x:c>
      <x:c r="N27" s="23" t="str">
        <x:v>vote 변경</x:v>
      </x:c>
    </x:row>
    <x:row r="28" ht="60" customHeight="1">
      <x:c r="A28" s="23" t="n">
        <x:v>797</x:v>
      </x:c>
      <x:c r="B28" s="23" t="str">
        <x:v>LITE</x:v>
      </x:c>
      <x:c r="C28" s="53" t="n">
        <x:v>46182.49475694444</x:v>
      </x:c>
      <x:c r="D28" s="23" t="str">
        <x:v>aleabitoreddit</x:v>
      </x:c>
      <x:c r="E28" s="23" t="str">
        <x:v>bullish</x:v>
      </x:c>
      <x:c r="F28" s="34" t="n">
        <x:v>0.7</x:v>
      </x:c>
      <x:c r="G28" s="23" t="str">
        <x:v>needs_review</x:v>
      </x:c>
      <x:c r="H28" s="23" t="str">
        <x:v>stance</x:v>
      </x:c>
      <x:c r="I28" s="23" t="str">
        <x:v>first_mention</x:v>
      </x:c>
      <x:c r="J28" s="23" t="str">
        <x:v>valuation</x:v>
      </x:c>
      <x:c r="K28" s="50" t="str">
        <x:v>AI 노출 중소형주로서 ARM, MRVL 대비 매력적인 ROI 가능성</x:v>
      </x:c>
      <x:c r="L28" s="50" t="str">
        <x:v>Names like:
- $ASX
- Sumitomo Electric
- $JBL
- $VICR
- $GFS 
- $AAOI 
- AlChip 
- $TSEM
- $FN
- Furukawa Electric
- $CLS
- $NBIS
- $NOK
- $AMKR
- $LITE
- $COHR
Off the top of my head.
So basically, AI exposure trading in the $10-100B range.
Likely have compelling ROI right now compared to indexes or $ARM to $MRVL that ran quite a bit? 
(Just a disclosure, only have financial interest in NBIS/TSEM/AAOI above)
I mention a lot of smaller ideas, but that’s just to chase outsized returns.
Still feels like many of these have room to go.</x:v>
      </x:c>
      <x:c r="M28" s="65" t="str">
        <x:v>https://x.com/aleabitoreddit/status/2064314680521507114</x:v>
      </x:c>
      <x:c r="N28" s="23" t="str">
        <x:v>제외</x:v>
      </x:c>
    </x:row>
    <x:row r="29" ht="60" customHeight="1">
      <x:c r="A29" s="23" t="n">
        <x:v>798</x:v>
      </x:c>
      <x:c r="B29" s="23" t="str">
        <x:v>COHR</x:v>
      </x:c>
      <x:c r="C29" s="53" t="n">
        <x:v>46182.49475694444</x:v>
      </x:c>
      <x:c r="D29" s="23" t="str">
        <x:v>aleabitoreddit</x:v>
      </x:c>
      <x:c r="E29" s="23" t="str">
        <x:v>bullish</x:v>
      </x:c>
      <x:c r="F29" s="34" t="n">
        <x:v>0.7</x:v>
      </x:c>
      <x:c r="G29" s="23" t="str">
        <x:v>needs_review</x:v>
      </x:c>
      <x:c r="H29" s="23" t="str">
        <x:v>stance</x:v>
      </x:c>
      <x:c r="I29" s="23" t="str">
        <x:v>first_mention</x:v>
      </x:c>
      <x:c r="J29" s="23" t="str">
        <x:v>valuation</x:v>
      </x:c>
      <x:c r="K29" s="50" t="str">
        <x:v>AI 노출 중소형주로서 ARM, MRVL 대비 매력적인 ROI 가능성</x:v>
      </x:c>
      <x:c r="L29" s="50" t="str">
        <x:v>Names like:
- $ASX
- Sumitomo Electric
- $JBL
- $VICR
- $GFS 
- $AAOI 
- AlChip 
- $TSEM
- $FN
- Furukawa Electric
- $CLS
- $NBIS
- $NOK
- $AMKR
- $LITE
- $COHR
Off the top of my head.
So basically, AI exposure trading in the $10-100B range.
Likely have compelling ROI right now compared to indexes or $ARM to $MRVL that ran quite a bit? 
(Just a disclosure, only have financial interest in NBIS/TSEM/AAOI above)
I mention a lot of smaller ideas, but that’s just to chase outsized returns.
Still feels like many of these have room to go.</x:v>
      </x:c>
      <x:c r="M29" s="65" t="str">
        <x:v>https://x.com/aleabitoreddit/status/2064314680521507114</x:v>
      </x:c>
      <x:c r="N29" s="23" t="str">
        <x:v>제외</x:v>
      </x:c>
    </x:row>
    <x:row r="30" ht="60" customHeight="1">
      <x:c r="A30" s="23" t="n">
        <x:v>368</x:v>
      </x:c>
      <x:c r="B30" s="23" t="str">
        <x:v>NVDA</x:v>
      </x:c>
      <x:c r="C30" s="53" t="n">
        <x:v>46182.59034722222</x:v>
      </x:c>
      <x:c r="D30" s="23" t="str">
        <x:v>aleabitoreddit</x:v>
      </x:c>
      <x:c r="E30" s="23" t="str">
        <x:v>neutral</x:v>
      </x:c>
      <x:c r="F30" s="34" t="n">
        <x:v>0.6</x:v>
      </x:c>
      <x:c r="G30" s="23" t="str">
        <x:v>needs_review</x:v>
      </x:c>
      <x:c r="H30" s="23" t="str">
        <x:v>stance</x:v>
      </x:c>
      <x:c r="I30" s="23" t="str">
        <x:v>new_risk</x:v>
      </x:c>
      <x:c r="J30" s="23" t="str">
        <x:v>risk</x:v>
      </x:c>
      <x:c r="K30" s="50" t="str">
        <x:v>메모리 부족과 가격 상승이 하이퍼스케일러 고객사의 재정에 부담을 줄 수 있음</x:v>
      </x:c>
      <x:c r="L30" s="50" t="str">
        <x:v>@QGrowthCap I mean $NVDA CEO did say memory would be a multi year shortage. 
With the way things are going with the nand/dram hikes, all your hyperscalers r gonna be in debt lol</x:v>
      </x:c>
      <x:c r="M30" s="65" t="str">
        <x:v>https://x.com/aleabitoreddit/status/2064349321198518767</x:v>
      </x:c>
      <x:c r="N30" s="23" t="str">
        <x:v>제외</x:v>
      </x:c>
    </x:row>
    <x:row r="31" ht="60" customHeight="1">
      <x:c r="A31" s="23" t="n">
        <x:v>370</x:v>
      </x:c>
      <x:c r="B31" s="23" t="str">
        <x:v>NVDA</x:v>
      </x:c>
      <x:c r="C31" s="53" t="n">
        <x:v>46183.06520833333</x:v>
      </x:c>
      <x:c r="D31" s="23" t="str">
        <x:v>aleabitoreddit</x:v>
      </x:c>
      <x:c r="E31" s="23" t="str">
        <x:v>bullish</x:v>
      </x:c>
      <x:c r="F31" s="34" t="n">
        <x:v>0.85</x:v>
      </x:c>
      <x:c r="G31" s="23" t="str">
        <x:v>auto</x:v>
      </x:c>
      <x:c r="H31" s="23"/>
      <x:c r="I31" s="23" t="str">
        <x:v>new_claim</x:v>
      </x:c>
      <x:c r="J31" s="23" t="str">
        <x:v>catalyst</x:v>
      </x:c>
      <x:c r="K31" s="50" t="str">
        <x:v>CPO 스케일 아웃이 예상보다 빠르게 진행 중이며, 올해 하반기 CPO 램프업 예정</x:v>
      </x:c>
      <x:c r="L31" s="50" t="str">
        <x:v>CPO scale out earlier than expected:
&gt; Foxconn: est. units register upward and optical switches shipped early to $NVDA 
CPO scale up timelines from $LITE Mizuho Technology Conference today:
“The company expects to start shipping Scale-Up optical products in the second half of 2027, with formal volume ramp-up in 2028”
SVP $NVDA networking: “We’re going to ramp up CPO second half of this year”. No delay indications.
I’m gonna go ahead and trust industry projections. Where they all reiterate faster timelines for scale out CPO H2 onward. And scale up CPO H2 2027 onward (with main growth happening 2028)
Over a questionable motive analyst firm that said $MU had no share of HBM4 Rubin (causing a selloff)
Where micron went out shortly later to into enter mass production. (Triple digit return shortly after)
I think people going long on temporary bridge architectures from this incorrect report won’t be too happy. 
Appreciate the buying opportunity though.</x:v>
      </x:c>
      <x:c r="M31" s="65" t="str">
        <x:v>https://x.com/aleabitoreddit/status/2064521404859719681</x:v>
      </x:c>
      <x:c r="N31" s="23" t="str">
        <x:v>vote 변경</x:v>
      </x:c>
    </x:row>
    <x:row r="32" ht="60" customHeight="1">
      <x:c r="A32" s="23" t="n">
        <x:v>371</x:v>
      </x:c>
      <x:c r="B32" s="23" t="str">
        <x:v>LITE</x:v>
      </x:c>
      <x:c r="C32" s="53" t="n">
        <x:v>46183.06520833333</x:v>
      </x:c>
      <x:c r="D32" s="23" t="str">
        <x:v>aleabitoreddit</x:v>
      </x:c>
      <x:c r="E32" s="23" t="str">
        <x:v>bullish</x:v>
      </x:c>
      <x:c r="F32" s="34" t="n">
        <x:v>0.7</x:v>
      </x:c>
      <x:c r="G32" s="23" t="str">
        <x:v>needs_review</x:v>
      </x:c>
      <x:c r="H32" s="23" t="str">
        <x:v>stance</x:v>
      </x:c>
      <x:c r="I32" s="23" t="str">
        <x:v>first_mention</x:v>
      </x:c>
      <x:c r="J32" s="23" t="str">
        <x:v>catalyst</x:v>
      </x:c>
      <x:c r="K32" s="50" t="str">
        <x:v>스케일 업 광학 제품 출하가 2027년 하반기 시작, 2028년 본격 램프업 예정</x:v>
      </x:c>
      <x:c r="L32" s="50" t="str">
        <x:v>CPO scale out earlier than expected:
&gt; Foxconn: est. units register upward and optical switches shipped early to $NVDA 
CPO scale up timelines from $LITE Mizuho Technology Conference today:
“The company expects to start shipping Scale-Up optical products in the second half of 2027, with formal volume ramp-up in 2028”
SVP $NVDA networking: “We’re going to ramp up CPO second half of this year”. No delay indications.
I’m gonna go ahead and trust industry projections. Where they all reiterate faster timelines for scale out CPO H2 onward. And scale up CPO H2 2027 onward (with main growth happening 2028)
Over a questionable motive analyst firm that said $MU had no share of HBM4 Rubin (causing a selloff)
Where micron went out shortly later to into enter mass production. (Triple digit return shortly after)
I think people going long on temporary bridge architectures from this incorrect report won’t be too happy. 
Appreciate the buying opportunity though.</x:v>
      </x:c>
      <x:c r="M32" s="65" t="str">
        <x:v>https://x.com/aleabitoreddit/status/2064521404859719681</x:v>
      </x:c>
      <x:c r="N32" s="23" t="str">
        <x:v>제외</x:v>
      </x:c>
    </x:row>
    <x:row r="33" ht="60" customHeight="1">
      <x:c r="A33" s="23" t="n">
        <x:v>369</x:v>
      </x:c>
      <x:c r="B33" s="23" t="str">
        <x:v>AAOI</x:v>
      </x:c>
      <x:c r="C33" s="53" t="n">
        <x:v>46183.07409722222</x:v>
      </x:c>
      <x:c r="D33" s="23" t="str">
        <x:v>aleabitoreddit</x:v>
      </x:c>
      <x:c r="E33" s="23" t="str">
        <x:v>neutral</x:v>
      </x:c>
      <x:c r="F33" s="34" t="n">
        <x:v>0.8</x:v>
      </x:c>
      <x:c r="G33" s="23" t="str">
        <x:v>auto</x:v>
      </x:c>
      <x:c r="H33" s="23"/>
      <x:c r="I33" s="23" t="str">
        <x:v>first_mention</x:v>
      </x:c>
      <x:c r="J33" s="23" t="str">
        <x:v>other</x:v>
      </x:c>
      <x:c r="K33" s="50" t="str">
        <x:v>AAOI의 수익은 플러거블에 집중되어 있으며, 2029년 이후에 일부 잠식 가능성이 있지만 현재는 병행 아키텍처가 진행 중이다.</x:v>
      </x:c>
      <x:c r="L33" s="50" t="str">
        <x:v>@Matthew93889052 $AAOI revenues are dominated by pluggable.
These are concurrent architectures happening in parallel, not one or the other.
But maybe past 2029, we’ll likely see some pluggable revenue be cannablized</x:v>
      </x:c>
      <x:c r="M33" s="65" t="str">
        <x:v>https://x.com/aleabitoreddit/status/2064524625477095758</x:v>
      </x:c>
      <x:c r="N33" s="23" t="str">
        <x:v>근거만</x:v>
      </x:c>
    </x:row>
    <x:row r="34" ht="60" customHeight="1">
      <x:c r="A34" s="23" t="n">
        <x:v>374</x:v>
      </x:c>
      <x:c r="B34" s="23" t="str">
        <x:v>NVDA</x:v>
      </x:c>
      <x:c r="C34" s="53" t="n">
        <x:v>46183.1021412037</x:v>
      </x:c>
      <x:c r="D34" s="23" t="str">
        <x:v>aleabitoreddit</x:v>
      </x:c>
      <x:c r="E34" s="23" t="str">
        <x:v>bullish</x:v>
      </x:c>
      <x:c r="F34" s="34" t="n">
        <x:v>0.7</x:v>
      </x:c>
      <x:c r="G34" s="23" t="str">
        <x:v>needs_review</x:v>
      </x:c>
      <x:c r="H34" s="23" t="str">
        <x:v>stance</x:v>
      </x:c>
      <x:c r="I34" s="23" t="str">
        <x:v>new_claim</x:v>
      </x:c>
      <x:c r="J34" s="23" t="str">
        <x:v>catalyst</x:v>
      </x:c>
      <x:c r="K34" s="50" t="str">
        <x:v>아키텍처 변화가 임박하여 관련 업체들에 긍정적 영향</x:v>
      </x:c>
      <x:c r="L34" s="50" t="str">
        <x:v>I’m just sharing what’s imminent with architectural shifts pushed by $NVDA.
Retail managed to completely frontrun institutions on multiple names, but institutions need liquidity to enter.
It’s just interesting how every major industry player confirms the same timelines, then a questionable analyst firm that said $MU had no HBM4 share could write a hit piece then be completely incorrect again.</x:v>
      </x:c>
      <x:c r="M34" s="65" t="str">
        <x:v>https://x.com/aleabitoreddit/status/2064534788850254058</x:v>
      </x:c>
      <x:c r="N34" s="23" t="str">
        <x:v>제외</x:v>
      </x:c>
    </x:row>
    <x:row r="35" ht="60" customHeight="1">
      <x:c r="A35" s="23" t="n">
        <x:v>377</x:v>
      </x:c>
      <x:c r="B35" s="23" t="str">
        <x:v>NVDA</x:v>
      </x:c>
      <x:c r="C35" s="53" t="n">
        <x:v>46183.155324074076</x:v>
      </x:c>
      <x:c r="D35" s="23" t="str">
        <x:v>aleabitoreddit</x:v>
      </x:c>
      <x:c r="E35" s="23" t="str">
        <x:v>bullish</x:v>
      </x:c>
      <x:c r="F35" s="34" t="n">
        <x:v>0.9</x:v>
      </x:c>
      <x:c r="G35" s="23" t="str">
        <x:v>auto</x:v>
      </x:c>
      <x:c r="H35" s="23"/>
      <x:c r="I35" s="23" t="str">
        <x:v>new_claim</x:v>
      </x:c>
      <x:c r="J35" s="23" t="str">
        <x:v>catalyst</x:v>
      </x:c>
      <x:c r="K35" s="50" t="str">
        <x:v>CPO 제품 출시 지연설이 사실이 아니며, 2026년 하반기 양산 및 고객 인도가 계획대로 진행된다는 점이 주가에 긍정적</x:v>
      </x:c>
      <x:c r="L35" s="50" t="str">
        <x:v>$NVDA Networking Senior Vice President refuting recent analyst reports on delays:
- “ the most exciting stuff is co-packaged optics.”
- There is no delay in H2 CPO product delivery schedule. 
- CPO switch will enter mass production and begin ramping up customer deliveries as planned in the second half of 2026
This was a media article, original interview source credit should have been credited to Tae Kim / Computex. 
Something fun to note too was this quote “Gilad was VERY enthusiastic about the CPO ramp from Nvidia.” 
Both near term and long term.
Yeah… I’m extremely bullish on CPO alongside Nvidia.</x:v>
      </x:c>
      <x:c r="M35" s="65" t="str">
        <x:v>https://x.com/aleabitoreddit/status/2064554061253451815</x:v>
      </x:c>
      <x:c r="N35" s="23" t="str">
        <x:v>vote 변경</x:v>
      </x:c>
    </x:row>
    <x:row r="36" ht="60" customHeight="1">
      <x:c r="A36" s="23" t="n">
        <x:v>378</x:v>
      </x:c>
      <x:c r="B36" s="23" t="str">
        <x:v>LITE</x:v>
      </x:c>
      <x:c r="C36" s="53" t="n">
        <x:v>46183.187048611115</x:v>
      </x:c>
      <x:c r="D36" s="23" t="str">
        <x:v>aleabitoreddit</x:v>
      </x:c>
      <x:c r="E36" s="23" t="str">
        <x:v>bullish</x:v>
      </x:c>
      <x:c r="F36" s="34" t="n">
        <x:v>0.9</x:v>
      </x:c>
      <x:c r="G36" s="23" t="str">
        <x:v>auto</x:v>
      </x:c>
      <x:c r="H36" s="23"/>
      <x:c r="I36" s="23" t="str">
        <x:v>new_claim</x:v>
      </x:c>
      <x:c r="J36" s="23" t="str">
        <x:v>catalyst</x:v>
      </x:c>
      <x:c r="K36" s="50" t="str">
        <x:v>CPO 스케일업 광학 제품 출하 일정에 차질이 없으며, 2027년 하반기 출하 시작, 2028년 본격 램프업 예정.</x:v>
      </x:c>
      <x:c r="L36" s="50" t="str">
        <x:v>$LITE Management Speech from Mizuho Technology at today’s conference.
The company expects to start shipping CPO scale up optical products in the second half of 2027.
With formal ramp up in 2028.
No delays, as this aligns with previous timelines shared.
So today, we also got confirmation from
$NVDA SVP no delays on CPO scale out timelines H2 2026, and they’re beginning mass production.
And $LITE management also stated no delays on CPO scale up timeline.
The leading companies in Nvidia and Lumentum probably know their own timelines the better than incorrect analyst reports telling them no. 
And both are incredibly bullish on TAM and opportunities.</x:v>
      </x:c>
      <x:c r="M36" s="65" t="str">
        <x:v>https://x.com/aleabitoreddit/status/2064565558432190724</x:v>
      </x:c>
      <x:c r="N36" s="23" t="str">
        <x:v>vote 변경</x:v>
      </x:c>
    </x:row>
    <x:row r="37" ht="60" customHeight="1">
      <x:c r="A37" s="23" t="n">
        <x:v>379</x:v>
      </x:c>
      <x:c r="B37" s="23" t="str">
        <x:v>NVDA</x:v>
      </x:c>
      <x:c r="C37" s="53" t="n">
        <x:v>46183.187048611115</x:v>
      </x:c>
      <x:c r="D37" s="23" t="str">
        <x:v>aleabitoreddit</x:v>
      </x:c>
      <x:c r="E37" s="23" t="str">
        <x:v>bullish</x:v>
      </x:c>
      <x:c r="F37" s="34" t="n">
        <x:v>0.9</x:v>
      </x:c>
      <x:c r="G37" s="23" t="str">
        <x:v>auto</x:v>
      </x:c>
      <x:c r="H37" s="23"/>
      <x:c r="I37" s="23" t="str">
        <x:v>new_claim</x:v>
      </x:c>
      <x:c r="J37" s="23" t="str">
        <x:v>catalyst</x:v>
      </x:c>
      <x:c r="K37" s="50" t="str">
        <x:v>CPO 스케일아웃 타임라인(H2 2026)에 차질이 없으며, 양산을 시작하고 있음.</x:v>
      </x:c>
      <x:c r="L37" s="50" t="str">
        <x:v>$LITE Management Speech from Mizuho Technology at today’s conference.
The company expects to start shipping CPO scale up optical products in the second half of 2027.
With formal ramp up in 2028.
No delays, as this aligns with previous timelines shared.
So today, we also got confirmation from
$NVDA SVP no delays on CPO scale out timelines H2 2026, and they’re beginning mass production.
And $LITE management also stated no delays on CPO scale up timeline.
The leading companies in Nvidia and Lumentum probably know their own timelines the better than incorrect analyst reports telling them no. 
And both are incredibly bullish on TAM and opportunities.</x:v>
      </x:c>
      <x:c r="M37" s="65" t="str">
        <x:v>https://x.com/aleabitoreddit/status/2064565558432190724</x:v>
      </x:c>
      <x:c r="N37" s="23" t="str">
        <x:v>vote 변경</x:v>
      </x:c>
    </x:row>
    <x:row r="38" ht="60" customHeight="1">
      <x:c r="A38" s="23" t="n">
        <x:v>376</x:v>
      </x:c>
      <x:c r="B38" s="23" t="str">
        <x:v>NVDA</x:v>
      </x:c>
      <x:c r="C38" s="53" t="n">
        <x:v>46183.19501157408</x:v>
      </x:c>
      <x:c r="D38" s="23" t="str">
        <x:v>aleabitoreddit</x:v>
      </x:c>
      <x:c r="E38" s="23" t="str">
        <x:v>bullish</x:v>
      </x:c>
      <x:c r="F38" s="34" t="n">
        <x:v>1</x:v>
      </x:c>
      <x:c r="G38" s="23" t="str">
        <x:v>auto</x:v>
      </x:c>
      <x:c r="H38" s="23"/>
      <x:c r="I38" s="23" t="str">
        <x:v>first_mention</x:v>
      </x:c>
      <x:c r="J38" s="23" t="str">
        <x:v>thesis</x:v>
      </x:c>
      <x:c r="K38" s="50" t="str">
        <x:v>외부 분석가들의 지연 주장과 달리 NVDA의 자체 일정에 신뢰를 두고 롱 포지션을 취함.</x:v>
      </x:c>
      <x:c r="L38" s="50" t="str">
        <x:v>@xnoahwang Imagine being $NVDA, the most powerful company in the world, with high visibility of their own timelines, saying there’s no delays.
Then external analysts go and say every architecture Nvidia is doing is gonna be delayed by awhile.
Yeah… I’m going long with Nvidia here.</x:v>
      </x:c>
      <x:c r="M38" s="65" t="str">
        <x:v>https://x.com/aleabitoreddit/status/2064568442037182644</x:v>
      </x:c>
      <x:c r="N38" s="23" t="str">
        <x:v>vote 변경</x:v>
      </x:c>
    </x:row>
    <x:row r="39" ht="60" customHeight="1">
      <x:c r="A39" s="23" t="n">
        <x:v>380</x:v>
      </x:c>
      <x:c r="B39" s="23" t="str">
        <x:v>NVDA</x:v>
      </x:c>
      <x:c r="C39" s="53" t="n">
        <x:v>46183.216412037036</x:v>
      </x:c>
      <x:c r="D39" s="23" t="str">
        <x:v>aleabitoreddit</x:v>
      </x:c>
      <x:c r="E39" s="23" t="str">
        <x:v>bullish</x:v>
      </x:c>
      <x:c r="F39" s="34" t="n">
        <x:v>0.7</x:v>
      </x:c>
      <x:c r="G39" s="23" t="str">
        <x:v>needs_review</x:v>
      </x:c>
      <x:c r="H39" s="23" t="str">
        <x:v>stance</x:v>
      </x:c>
      <x:c r="I39" s="23" t="str">
        <x:v>new_claim</x:v>
      </x:c>
      <x:c r="J39" s="23" t="str">
        <x:v>catalyst</x:v>
      </x:c>
      <x:c r="K39" s="50" t="str">
        <x:v>CPO(Co-Packaged Optics) 도입 일정이 가속화되고 있어 엔비디아에 긍정적</x:v>
      </x:c>
      <x:c r="L39" s="50" t="str">
        <x:v>If you want a TLDR of today:
&amp;gt; be $NVDA, $5T company. Force shift to 800V DC and CPO
&amp;gt; analyst: I don’t think u can do it in time!
&amp;gt; market: “I don’t trust Nvidia, time to sell everything”
&amp;gt; Nvidia and Lumentum executives after: Bullish on CPO, timelines accelerating.
???</x:v>
      </x:c>
      <x:c r="M39" s="65" t="str">
        <x:v>https://x.com/aleabitoreddit/status/2064576200211861981</x:v>
      </x:c>
      <x:c r="N39" s="23" t="str">
        <x:v>제외</x:v>
      </x:c>
    </x:row>
    <x:row r="40" ht="60" customHeight="1">
      <x:c r="A40" s="23" t="n">
        <x:v>385</x:v>
      </x:c>
      <x:c r="B40" s="23" t="str">
        <x:v>NVDA</x:v>
      </x:c>
      <x:c r="C40" s="53" t="n">
        <x:v>46183.449953703705</x:v>
      </x:c>
      <x:c r="D40" s="23" t="str">
        <x:v>aleabitoreddit</x:v>
      </x:c>
      <x:c r="E40" s="23" t="str">
        <x:v>bullish</x:v>
      </x:c>
      <x:c r="F40" s="34" t="n">
        <x:v>0.7</x:v>
      </x:c>
      <x:c r="G40" s="23" t="str">
        <x:v>needs_review</x:v>
      </x:c>
      <x:c r="H40" s="23" t="str">
        <x:v>stance</x:v>
      </x:c>
      <x:c r="I40" s="23" t="str">
        <x:v>new_claim</x:v>
      </x:c>
      <x:c r="J40" s="23" t="str">
        <x:v>catalyst</x:v>
      </x:c>
      <x:c r="K40" s="50" t="str">
        <x:v>800V DC 지연 보도는 부인되었으며, 이는 주가에 긍정적 촉매</x:v>
      </x:c>
      <x:c r="L40" s="50" t="str">
        <x:v>Morgan Stanley: $NVDA has denied the reports 800V DC has been pushed back.
Recent SemiAnalysis reports run contrary to our own checks at Computex.
Bro this has gotta be the dumbest CPO/800V selloff I’ve seen.
Since the selloff from their claim $MU had 0 share of Nvidia HBM4 https://t.co/YX9apQSVLT https://t.co/SZp7TBNVMU</x:v>
      </x:c>
      <x:c r="M40" s="65" t="str">
        <x:v>https://x.com/aleabitoreddit/status/2064660831405805648</x:v>
      </x:c>
      <x:c r="N40" s="23" t="str">
        <x:v>제외</x:v>
      </x:c>
    </x:row>
    <x:row r="41" ht="60" customHeight="1">
      <x:c r="A41" s="23" t="n">
        <x:v>382</x:v>
      </x:c>
      <x:c r="B41" s="23" t="str">
        <x:v>NVDA</x:v>
      </x:c>
      <x:c r="C41" s="53" t="n">
        <x:v>46183.45347222222</x:v>
      </x:c>
      <x:c r="D41" s="23" t="str">
        <x:v>aleabitoreddit</x:v>
      </x:c>
      <x:c r="E41" s="23" t="str">
        <x:v>bullish</x:v>
      </x:c>
      <x:c r="F41" s="34" t="n">
        <x:v>0.8</x:v>
      </x:c>
      <x:c r="G41" s="23" t="str">
        <x:v>auto</x:v>
      </x:c>
      <x:c r="H41" s="23"/>
      <x:c r="I41" s="23" t="str">
        <x:v>new_claim</x:v>
      </x:c>
      <x:c r="J41" s="23" t="str">
        <x:v>catalyst</x:v>
      </x:c>
      <x:c r="K41" s="50" t="str">
        <x:v>엔비디아가 800V 및 CPO 지연 보도를 부인하여 우려를 불식시킴.</x:v>
      </x:c>
      <x:c r="L41" s="50" t="str">
        <x:v>@lumingxi2025 No, $NVDA denied reports about 800v and CPO delays.
I think I’ll trust Nvidia… since they probably have an idea on their own timelines…</x:v>
      </x:c>
      <x:c r="M41" s="65" t="str">
        <x:v>https://x.com/aleabitoreddit/status/2064662108718141511</x:v>
      </x:c>
      <x:c r="N41" s="23" t="str">
        <x:v>vote 변경</x:v>
      </x:c>
    </x:row>
    <x:row r="42" ht="60" customHeight="1">
      <x:c r="A42" s="23" t="n">
        <x:v>383</x:v>
      </x:c>
      <x:c r="B42" s="23" t="str">
        <x:v>NVDA</x:v>
      </x:c>
      <x:c r="C42" s="53" t="n">
        <x:v>46183.47006944445</x:v>
      </x:c>
      <x:c r="D42" s="23" t="str">
        <x:v>aleabitoreddit</x:v>
      </x:c>
      <x:c r="E42" s="23" t="str">
        <x:v>bullish</x:v>
      </x:c>
      <x:c r="F42" s="34" t="n">
        <x:v>0.9</x:v>
      </x:c>
      <x:c r="G42" s="23" t="str">
        <x:v>auto</x:v>
      </x:c>
      <x:c r="H42" s="23"/>
      <x:c r="I42" s="23" t="str">
        <x:v>first_mention</x:v>
      </x:c>
      <x:c r="J42" s="23" t="str">
        <x:v>thesis</x:v>
      </x:c>
      <x:c r="K42" s="50" t="str">
        <x:v>NVDA는 5조 달러 기업으로 기술적 장애를 극복할 능력이 있으며, 경영진이 일정과 어려움을 잘 알고 있어 전망이 정확할 것.</x:v>
      </x:c>
      <x:c r="L42" s="50" t="str">
        <x:v>@oops1GSP Bro everything has technical obstacles. I can bear post about HBM4 yields or glass substrate yields and basically everything too.
$NVDA is a $5T company, they’re not $ASTS.
I’m sure they know timelines and difficulties, so projections should be accurate.</x:v>
      </x:c>
      <x:c r="M42" s="65" t="str">
        <x:v>https://x.com/aleabitoreddit/status/2064668122674872690</x:v>
      </x:c>
      <x:c r="N42" s="23" t="str">
        <x:v>vote 변경</x:v>
      </x:c>
    </x:row>
    <x:row r="43" ht="60" customHeight="1">
      <x:c r="A43" s="23" t="n">
        <x:v>384</x:v>
      </x:c>
      <x:c r="B43" s="23" t="str">
        <x:v>ASTS</x:v>
      </x:c>
      <x:c r="C43" s="53" t="n">
        <x:v>46183.47006944445</x:v>
      </x:c>
      <x:c r="D43" s="23" t="str">
        <x:v>aleabitoreddit</x:v>
      </x:c>
      <x:c r="E43" s="23" t="str">
        <x:v>bearish</x:v>
      </x:c>
      <x:c r="F43" s="34" t="n">
        <x:v>0.7</x:v>
      </x:c>
      <x:c r="G43" s="23" t="str">
        <x:v>needs_review</x:v>
      </x:c>
      <x:c r="H43" s="23" t="str">
        <x:v>stance</x:v>
      </x:c>
      <x:c r="I43" s="23" t="str">
        <x:v>first_mention</x:v>
      </x:c>
      <x:c r="J43" s="23" t="str">
        <x:v>positioning</x:v>
      </x:c>
      <x:c r="K43" s="50" t="str">
        <x:v>ASTS는 NVDA와 달리 작은 기업으로 기술적 장애를 극복하기 어려울 수 있음.</x:v>
      </x:c>
      <x:c r="L43" s="50" t="str">
        <x:v>@oops1GSP Bro everything has technical obstacles. I can bear post about HBM4 yields or glass substrate yields and basically everything too.
$NVDA is a $5T company, they’re not $ASTS.
I’m sure they know timelines and difficulties, so projections should be accurate.</x:v>
      </x:c>
      <x:c r="M43" s="65" t="str">
        <x:v>https://x.com/aleabitoreddit/status/2064668122674872690</x:v>
      </x:c>
      <x:c r="N43" s="23" t="str">
        <x:v>제외</x:v>
      </x:c>
    </x:row>
    <x:row r="44" ht="60" customHeight="1">
      <x:c r="A44" s="23" t="n">
        <x:v>388</x:v>
      </x:c>
      <x:c r="B44" s="23" t="str">
        <x:v>LITE</x:v>
      </x:c>
      <x:c r="C44" s="53" t="n">
        <x:v>46183.57288194444</x:v>
      </x:c>
      <x:c r="D44" s="23" t="str">
        <x:v>aleabitoreddit</x:v>
      </x:c>
      <x:c r="E44" s="23" t="str">
        <x:v>bullish</x:v>
      </x:c>
      <x:c r="F44" s="34" t="n">
        <x:v>0.8</x:v>
      </x:c>
      <x:c r="G44" s="23" t="str">
        <x:v>auto</x:v>
      </x:c>
      <x:c r="H44" s="23"/>
      <x:c r="I44" s="23" t="str">
        <x:v>first_mention</x:v>
      </x:c>
      <x:c r="J44" s="23" t="str">
        <x:v>positioning</x:v>
      </x:c>
      <x:c r="K44" s="50" t="str">
        <x:v>광학 플레이어들이 회복 중이며 초기 매도는 어리석었다.</x:v>
      </x:c>
      <x:c r="L44" s="50" t="str">
        <x:v>Glad optical players from $LITE to $AAOI and $SIVE are slightly recovering as they should.
The initial selloff was just stupid. https://t.co/DsOdQAWf9i</x:v>
      </x:c>
      <x:c r="M44" s="65" t="str">
        <x:v>https://x.com/aleabitoreddit/status/2064705380933074945</x:v>
      </x:c>
      <x:c r="N44" s="23" t="str">
        <x:v>vote 변경</x:v>
      </x:c>
    </x:row>
    <x:row r="45" ht="60" customHeight="1">
      <x:c r="A45" s="23" t="n">
        <x:v>389</x:v>
      </x:c>
      <x:c r="B45" s="23" t="str">
        <x:v>AAOI</x:v>
      </x:c>
      <x:c r="C45" s="53" t="n">
        <x:v>46183.57288194444</x:v>
      </x:c>
      <x:c r="D45" s="23" t="str">
        <x:v>aleabitoreddit</x:v>
      </x:c>
      <x:c r="E45" s="23" t="str">
        <x:v>bullish</x:v>
      </x:c>
      <x:c r="F45" s="34" t="n">
        <x:v>0.8</x:v>
      </x:c>
      <x:c r="G45" s="23" t="str">
        <x:v>auto</x:v>
      </x:c>
      <x:c r="H45" s="23"/>
      <x:c r="I45" s="23" t="str">
        <x:v>first_mention</x:v>
      </x:c>
      <x:c r="J45" s="23" t="str">
        <x:v>positioning</x:v>
      </x:c>
      <x:c r="K45" s="50" t="str">
        <x:v>광학 플레이어들이 회복 중이며 초기 매도는 어리석었다.</x:v>
      </x:c>
      <x:c r="L45" s="50" t="str">
        <x:v>Glad optical players from $LITE to $AAOI and $SIVE are slightly recovering as they should.
The initial selloff was just stupid. https://t.co/DsOdQAWf9i</x:v>
      </x:c>
      <x:c r="M45" s="65" t="str">
        <x:v>https://x.com/aleabitoreddit/status/2064705380933074945</x:v>
      </x:c>
      <x:c r="N45" s="23" t="str">
        <x:v>vote 변경</x:v>
      </x:c>
    </x:row>
    <x:row r="46" ht="60" customHeight="1">
      <x:c r="A46" s="23" t="n">
        <x:v>395</x:v>
      </x:c>
      <x:c r="B46" s="23" t="str">
        <x:v>NVDA</x:v>
      </x:c>
      <x:c r="C46" s="53" t="n">
        <x:v>46183.67866898148</x:v>
      </x:c>
      <x:c r="D46" s="23" t="str">
        <x:v>aleabitoreddit</x:v>
      </x:c>
      <x:c r="E46" s="23" t="str">
        <x:v>neutral</x:v>
      </x:c>
      <x:c r="F46" s="34" t="n">
        <x:v>0.3</x:v>
      </x:c>
      <x:c r="G46" s="23" t="str">
        <x:v>needs_review</x:v>
      </x:c>
      <x:c r="H46" s="23" t="str">
        <x:v>stance</x:v>
      </x:c>
      <x:c r="I46" s="23" t="str">
        <x:v>first_mention</x:v>
      </x:c>
      <x:c r="J46" s="23" t="str">
        <x:v>catalyst</x:v>
      </x:c>
      <x:c r="K46" s="50" t="str">
        <x:v>트럼프의 이란 위협 중단이 NVDA 하락 추세 반전의 촉매가 될 수 있음.</x:v>
      </x:c>
      <x:c r="L46" s="50" t="str">
        <x:v>@pilot_scheme idk, maybe $NVDA downtrend might reverse if Trump stopped threatening Iran every day? https://t.co/QCIkIkqkwy</x:v>
      </x:c>
      <x:c r="M46" s="65" t="str">
        <x:v>https://x.com/aleabitoreddit/status/2064743715755971026</x:v>
      </x:c>
      <x:c r="N46" s="23" t="str">
        <x:v>제외</x:v>
      </x:c>
    </x:row>
    <x:row r="47" ht="60" customHeight="1">
      <x:c r="A47" s="23" t="n">
        <x:v>399</x:v>
      </x:c>
      <x:c r="B47" s="23" t="str">
        <x:v>NVDA</x:v>
      </x:c>
      <x:c r="C47" s="53" t="n">
        <x:v>46184.06829861111</x:v>
      </x:c>
      <x:c r="D47" s="23" t="str">
        <x:v>aleabitoreddit</x:v>
      </x:c>
      <x:c r="E47" s="23" t="str">
        <x:v>bullish</x:v>
      </x:c>
      <x:c r="F47" s="34" t="n">
        <x:v>0.7</x:v>
      </x:c>
      <x:c r="G47" s="23" t="str">
        <x:v>needs_review</x:v>
      </x:c>
      <x:c r="H47" s="23" t="str">
        <x:v>stance</x:v>
      </x:c>
      <x:c r="I47" s="23" t="str">
        <x:v>new_claim</x:v>
      </x:c>
      <x:c r="J47" s="23" t="str">
        <x:v>catalyst</x:v>
      </x:c>
      <x:c r="K47" s="50" t="str">
        <x:v>Foci (3363)가 NVDA 광학 프로그램의 병목 현상이 될 것이며, 부정적 보고서는 기관의 유동성 확보 신호</x:v>
      </x:c>
      <x:c r="L47" s="50" t="str">
        <x:v>Basically this… and it’s how cycles work.
Retail was early and completely frontran institutions on next architectural shifts.
There was close to 0 US institutional ownership on $SIVE.
And now you see active institutions like JP Morgan, Fidelity Research, and others on the cap table.
Happened last year with $NBIS.
&gt; I called out close to &lt;30% institutional accumulation and said they wanted more shares.
&gt; institutions bought up majority of the float
&gt; bunch of negative articles back then, now it’s positive and ATHs.
Two years before it was $RKLB
&gt; Was long at $16, but institutional analysts kept giving record low PTs and told retail to sell, although it had such a high reusable rocket rate.
&gt; retail sold, institutional ownership stocked up
&gt; now it’s ATHs
I expect Foci (3363) to be a bottleneck for both $NVDA and $TSM optical programs and now there’s firms implying you to sell that at $2.5B valuations alongside $HIMX.
So if you see negative sellside reports or an uncanny wave of negative news, if’s a good signal they need liquidity.
Recently some smaller hedge funds have been so desperate that they’re likely even using bot farms on X that told retail to sell lol… which I’ve uncovered recently.
Regardless, it’s also why I spend a lot of time doing research on individual names so people can build their own conviction in the face of noise. 
Unfortunately, it’s just a part of life how the modern liquidity cycles/transfers of US retail -&gt; Institutions work.
They don’t work in the best interest of retail investors.</x:v>
      </x:c>
      <x:c r="M47" s="65" t="str">
        <x:v>https://x.com/aleabitoreddit/status/2064884912667439129</x:v>
      </x:c>
      <x:c r="N47" s="23" t="str">
        <x:v>제외</x:v>
      </x:c>
    </x:row>
    <x:row r="48" ht="60" customHeight="1">
      <x:c r="A48" s="23" t="n">
        <x:v>415</x:v>
      </x:c>
      <x:c r="B48" s="23" t="str">
        <x:v>AAOI</x:v>
      </x:c>
      <x:c r="C48" s="53" t="n">
        <x:v>46184.62384259259</x:v>
      </x:c>
      <x:c r="D48" s="23" t="str">
        <x:v>aleabitoreddit</x:v>
      </x:c>
      <x:c r="E48" s="23" t="str">
        <x:v>bullish</x:v>
      </x:c>
      <x:c r="F48" s="34" t="n">
        <x:v>0.8</x:v>
      </x:c>
      <x:c r="G48" s="23" t="str">
        <x:v>auto</x:v>
      </x:c>
      <x:c r="H48" s="23"/>
      <x:c r="I48" s="23" t="str">
        <x:v>first_mention</x:v>
      </x:c>
      <x:c r="J48" s="23" t="str">
        <x:v>growth</x:v>
      </x:c>
      <x:c r="K48" s="50" t="str">
        <x:v>2027년 상반기 말 월 4억7100만 달러 매출 달성 가능성이 높으며, 현재 시가총액 134억 달러 대비 잠재력이 높다.</x:v>
      </x:c>
      <x:c r="L48" s="50" t="str">
        <x:v>@WENXIN229986 that's literally for you to decide. 
If you think they can hit $471m/month revenue near the end of H1 2027. Potential seems high to me with $AAOI at $13.4B.
optical names are very volatile.</x:v>
      </x:c>
      <x:c r="M48" s="65" t="str">
        <x:v>https://x.com/aleabitoreddit/status/2065086233290924354</x:v>
      </x:c>
      <x:c r="N48" s="23" t="str">
        <x:v>vote 변경</x:v>
      </x:c>
    </x:row>
    <x:row r="49" ht="60" customHeight="1">
      <x:c r="A49" s="23" t="n">
        <x:v>417</x:v>
      </x:c>
      <x:c r="B49" s="23" t="str">
        <x:v>AAOI</x:v>
      </x:c>
      <x:c r="C49" s="53" t="n">
        <x:v>46184.67601851852</x:v>
      </x:c>
      <x:c r="D49" s="23" t="str">
        <x:v>aleabitoreddit</x:v>
      </x:c>
      <x:c r="E49" s="23" t="str">
        <x:v>bullish</x:v>
      </x:c>
      <x:c r="F49" s="34" t="n">
        <x:v>0.9</x:v>
      </x:c>
      <x:c r="G49" s="23" t="str">
        <x:v>auto</x:v>
      </x:c>
      <x:c r="H49" s="23"/>
      <x:c r="I49" s="23" t="str">
        <x:v>first_mention</x:v>
      </x:c>
      <x:c r="J49" s="23" t="str">
        <x:v>thesis</x:v>
      </x:c>
      <x:c r="K49" s="50" t="str">
        <x:v>AAOI는 미국 AI 인프라 공급망의 핵심이며, 생산을 미국으로 재배치하고 월 4억 7100만 달러 매출을 달성할 것으로 예상됨</x:v>
      </x:c>
      <x:c r="L49" s="50" t="str">
        <x:v>Markets should be cheering on domestic champions like $AAOI. 
Since it's ideal to support critical AI infra from laser fab to production in the US, rather than being a bear.
Feels like everyone just outsources transceivers to Asia like Malaysia or Thailand...
With $INTC, $IQE, $XFAB, $MU, $WOLF, $SOI, $SIVE, and others... 
If you haven't noticed by now, they're all critical to US supply chains. And every one of them are getting subsidies for securing Western supply chains. 
Before a major trade was to short developing US/Western equities, then hedge with subsidized foreign ones. 
As seen with the energy/solar firms that went bankrupt, this backfired a lot on US AI infrastructure years later with the power grid. 
I wanted to help change this mindset, since I believe it's very positive sum to invest in building up critical Western supply chains like photonics today. 
Especially if $AAOI hits their $471m/month projections after reshoring their production to America. 
Instead of hoping they fail and calling critical nodes in the supply chains memestocks/bubbles, maybe it's good to change mindsets a bit so we don't see a repeat of the US Solar sector years later. 
US/EU don't just hand out subsidies or CHIPS act grants to anyone.</x:v>
      </x:c>
      <x:c r="M49" s="65" t="str">
        <x:v>https://x.com/aleabitoreddit/status/2065105141238489398</x:v>
      </x:c>
      <x:c r="N49" s="23" t="str">
        <x:v>vote 변경</x:v>
      </x:c>
    </x:row>
    <x:row r="50" ht="60" customHeight="1">
      <x:c r="A50" s="23" t="n">
        <x:v>416</x:v>
      </x:c>
      <x:c r="B50" s="23" t="str">
        <x:v>NVDA</x:v>
      </x:c>
      <x:c r="C50" s="53" t="n">
        <x:v>46184.687893518516</x:v>
      </x:c>
      <x:c r="D50" s="23" t="str">
        <x:v>aleabitoreddit</x:v>
      </x:c>
      <x:c r="E50" s="23" t="str">
        <x:v>bullish</x:v>
      </x:c>
      <x:c r="F50" s="34" t="n">
        <x:v>0.7</x:v>
      </x:c>
      <x:c r="G50" s="23" t="str">
        <x:v>needs_review</x:v>
      </x:c>
      <x:c r="H50" s="23" t="str">
        <x:v>stance</x:v>
      </x:c>
      <x:c r="I50" s="23" t="str">
        <x:v>new_claim</x:v>
      </x:c>
      <x:c r="J50" s="23" t="str">
        <x:v>catalyst</x:v>
      </x:c>
      <x:c r="K50" s="50" t="str">
        <x:v>Lightmatter/Ayar 같은 CPO 생태계 기업들의 IPO가 NVDA 생태계 가치를 높일 것</x:v>
      </x:c>
      <x:c r="L50" s="50" t="str">
        <x:v>@ratna555 I see the Lightmatter/Ayar type companies, probably going higher than $5B if they IPO. 
Since they're both part of $NVDA NVLink CPO ecosystem, heavy backers like NVidia/Intel/AMD/Google, and popular theme.</x:v>
      </x:c>
      <x:c r="M50" s="65" t="str">
        <x:v>https://x.com/aleabitoreddit/status/2065109445554954254</x:v>
      </x:c>
      <x:c r="N50" s="23" t="str">
        <x:v>제외</x:v>
      </x:c>
    </x:row>
    <x:row r="51" ht="60" customHeight="1">
      <x:c r="A51" s="23" t="n">
        <x:v>425</x:v>
      </x:c>
      <x:c r="B51" s="23" t="str">
        <x:v>NVDA</x:v>
      </x:c>
      <x:c r="C51" s="53" t="n">
        <x:v>46184.701273148145</x:v>
      </x:c>
      <x:c r="D51" s="23" t="str">
        <x:v>aleabitoreddit</x:v>
      </x:c>
      <x:c r="E51" s="23" t="str">
        <x:v>bullish</x:v>
      </x:c>
      <x:c r="F51" s="34" t="n">
        <x:v>1</x:v>
      </x:c>
      <x:c r="G51" s="23" t="str">
        <x:v>auto</x:v>
      </x:c>
      <x:c r="H51" s="23"/>
      <x:c r="I51" s="23" t="str">
        <x:v>new_claim</x:v>
      </x:c>
      <x:c r="J51" s="23" t="str">
        <x:v>thesis</x:v>
      </x:c>
      <x:c r="K51" s="50" t="str">
        <x:v>NVDA는 미국의 AI 국가 챔피언이며, 공급망 확보를 위한 투자가 중요하다.</x:v>
      </x:c>
      <x:c r="L51" s="50" t="str">
        <x:v>If you haven’t noticed too with my other investment themes with 800V DC and CPO recently.
It’s investing in $NVDA, America’s national champion in AI, and securing their supply chains. 
Many things feel technologically difficult with yields to substrate supply. 
People can always bear post laser capacity or export control bottlenecks and tell people to short Nvidia’s supply chains due to difficulties. 
But by investing in the critical companies to give them more capex spend for FAU capacity / yields.
Or funding upstream red phosphorus/InP substrate capacity or SiC/GaN capacity. 
It builds up Western supply chains to make what’s technologically challenging, possible.
Also I believe in Jensen.</x:v>
      </x:c>
      <x:c r="M51" s="65" t="str">
        <x:v>https://x.com/aleabitoreddit/status/2065114293767741950</x:v>
      </x:c>
      <x:c r="N51" s="23" t="str">
        <x:v>vote 변경</x:v>
      </x:c>
    </x:row>
    <x:row r="52" ht="60" customHeight="1">
      <x:c r="A52" s="23" t="n">
        <x:v>439</x:v>
      </x:c>
      <x:c r="B52" s="23" t="str">
        <x:v>LITE</x:v>
      </x:c>
      <x:c r="C52" s="53" t="n">
        <x:v>46185.185219907406</x:v>
      </x:c>
      <x:c r="D52" s="23" t="str">
        <x:v>aleabitoreddit</x:v>
      </x:c>
      <x:c r="E52" s="23" t="str">
        <x:v>bullish</x:v>
      </x:c>
      <x:c r="F52" s="34" t="n">
        <x:v>0.9</x:v>
      </x:c>
      <x:c r="G52" s="23" t="str">
        <x:v>auto</x:v>
      </x:c>
      <x:c r="H52" s="23"/>
      <x:c r="I52" s="23" t="str">
        <x:v>repeat</x:v>
      </x:c>
      <x:c r="J52" s="23" t="str">
        <x:v>thesis</x:v>
      </x:c>
      <x:c r="K52" s="50" t="str">
        <x:v>고확신 아이디어가 잘 맞음</x:v>
      </x:c>
      <x:c r="L52" s="50" t="str">
        <x:v>Just some reflection, my core high conviction ideas from 2025 aged super well!
From 
$ALAB: $97-&gt; $372
$LITE: $330 -&gt; $904
$AAOI: $30 -&gt; $175
And others like $NBIS, $RKLB, and $TSM!
This was back when I had close to no followers! 
I got some nuances slightly off before more information was made public. Lost conviction on ALAB along the way with optical transitions.
But this was back when AAOI and others were small $3B companies (~$14B now).
So maybe some others in the same range today like $SIVE should get some more attention?
But I’m happy a lot of them aged super well. 
And I think a large part of my recent following growth is just other seeing my ideas like $AXTI get validated over time.</x:v>
      </x:c>
      <x:c r="M52" s="65" t="str">
        <x:v>https://x.com/aleabitoreddit/status/2065289672356745561</x:v>
      </x:c>
      <x:c r="N52" s="23" t="str">
        <x:v>vote 변경</x:v>
      </x:c>
    </x:row>
    <x:row r="53" ht="60" customHeight="1">
      <x:c r="A53" s="23" t="n">
        <x:v>440</x:v>
      </x:c>
      <x:c r="B53" s="23" t="str">
        <x:v>AAOI</x:v>
      </x:c>
      <x:c r="C53" s="53" t="n">
        <x:v>46185.185219907406</x:v>
      </x:c>
      <x:c r="D53" s="23" t="str">
        <x:v>aleabitoreddit</x:v>
      </x:c>
      <x:c r="E53" s="23" t="str">
        <x:v>bullish</x:v>
      </x:c>
      <x:c r="F53" s="34" t="n">
        <x:v>0.9</x:v>
      </x:c>
      <x:c r="G53" s="23" t="str">
        <x:v>auto</x:v>
      </x:c>
      <x:c r="H53" s="23"/>
      <x:c r="I53" s="23" t="str">
        <x:v>repeat</x:v>
      </x:c>
      <x:c r="J53" s="23" t="str">
        <x:v>thesis</x:v>
      </x:c>
      <x:c r="K53" s="50" t="str">
        <x:v>고확신 아이디어가 잘 맞았으며, 소형주에서 성장함</x:v>
      </x:c>
      <x:c r="L53" s="50" t="str">
        <x:v>Just some reflection, my core high conviction ideas from 2025 aged super well!
From 
$ALAB: $97-&gt; $372
$LITE: $330 -&gt; $904
$AAOI: $30 -&gt; $175
And others like $NBIS, $RKLB, and $TSM!
This was back when I had close to no followers! 
I got some nuances slightly off before more information was made public. Lost conviction on ALAB along the way with optical transitions.
But this was back when AAOI and others were small $3B companies (~$14B now).
So maybe some others in the same range today like $SIVE should get some more attention?
But I’m happy a lot of them aged super well. 
And I think a large part of my recent following growth is just other seeing my ideas like $AXTI get validated over time.</x:v>
      </x:c>
      <x:c r="M53" s="65" t="str">
        <x:v>https://x.com/aleabitoreddit/status/2065289672356745561</x:v>
      </x:c>
      <x:c r="N53" s="23" t="str">
        <x:v>vote 변경</x:v>
      </x:c>
    </x:row>
    <x:row r="54" ht="60" customHeight="1">
      <x:c r="A54" s="23" t="n">
        <x:v>474</x:v>
      </x:c>
      <x:c r="B54" s="23" t="str">
        <x:v>NVDA</x:v>
      </x:c>
      <x:c r="C54" s="53" t="n">
        <x:v>46188.05887731481</x:v>
      </x:c>
      <x:c r="D54" s="23" t="str">
        <x:v>aleabitoreddit</x:v>
      </x:c>
      <x:c r="E54" s="23" t="str">
        <x:v>bullish</x:v>
      </x:c>
      <x:c r="F54" s="34" t="n">
        <x:v>0.7</x:v>
      </x:c>
      <x:c r="G54" s="23" t="str">
        <x:v>needs_review</x:v>
      </x:c>
      <x:c r="H54" s="23" t="str">
        <x:v>stance</x:v>
      </x:c>
      <x:c r="I54" s="23" t="str">
        <x:v>new_claim</x:v>
      </x:c>
      <x:c r="J54" s="23" t="str">
        <x:v>catalyst</x:v>
      </x:c>
      <x:c r="K54" s="50" t="str">
        <x:v>Vera Rubin 플랫폼이 800V DC 기술을 예정보다 앞당겨 채택하여 수혜</x:v>
      </x:c>
      <x:c r="L54" s="50" t="str">
        <x:v>$NVDA and $GOOGL lead 800V DC ahead of schedule. 
"Ahead of schedule", pulled up to Q3 2026 with small volume shipments starting . 
- Delta Electronics (2308), $VRT
- Song Chuan Precision (7788)
- Schneider Electric, Eaton, Siemens.
All flagged as beneficiaries. 
"Market sources indicate that Nvidia’s Vera Rubin platform and Google’s next-generation AI data centers will be the first to adopt the technology"
Source: Commercial Times 
The power semi trade should be happy to hear this.</x:v>
      </x:c>
      <x:c r="M54" s="65" t="str">
        <x:v>https://x.com/aleabitoreddit/status/2066331049605627951</x:v>
      </x:c>
      <x:c r="N54" s="23" t="str">
        <x:v>제외</x:v>
      </x:c>
    </x:row>
    <x:row r="55" ht="60" customHeight="1">
      <x:c r="A55" s="23" t="n">
        <x:v>485</x:v>
      </x:c>
      <x:c r="B55" s="23" t="str">
        <x:v>AAOI</x:v>
      </x:c>
      <x:c r="C55" s="53" t="n">
        <x:v>46188.08540509259</x:v>
      </x:c>
      <x:c r="D55" s="23" t="str">
        <x:v>aleabitoreddit</x:v>
      </x:c>
      <x:c r="E55" s="23" t="str">
        <x:v>bullish</x:v>
      </x:c>
      <x:c r="F55" s="34" t="n">
        <x:v>0.9</x:v>
      </x:c>
      <x:c r="G55" s="23" t="str">
        <x:v>auto</x:v>
      </x:c>
      <x:c r="H55" s="23"/>
      <x:c r="I55" s="23" t="str">
        <x:v>first_mention</x:v>
      </x:c>
      <x:c r="J55" s="23" t="str">
        <x:v>catalyst</x:v>
      </x:c>
      <x:c r="K55" s="50" t="str">
        <x:v>중국의 InP 기판 수출 완화로 AAOI의 레이저 생산 병목 해소 및 수익 증가 기대</x:v>
      </x:c>
      <x:c r="L55" s="50" t="str">
        <x:v>Today, there's a new report that China eased InP substrate exports. 
Which is expected to relieve mass production bottlenecks in the photonics market (source: Digitimes)
My optical positions are very happy to hear this:
From $AXTI (substrates), $IQE (epiwafers) to $AAOI (lasers) / $LITE / $SIVE, and others. 
Taiwanese optical players like VPEC, Landmark, and others should go brrr as well. 
Just to recap: the photonics market, especially for laser companies is moreso "how much can you make" rather than how much demand is there. 
InP substrates was one of the main bottlenecks affecting upstream capacity.   
So if you're able to make more = more revenue.</x:v>
      </x:c>
      <x:c r="M55" s="65" t="str">
        <x:v>https://x.com/aleabitoreddit/status/2066340661633372452</x:v>
      </x:c>
      <x:c r="N55" s="23" t="str">
        <x:v>vote 변경</x:v>
      </x:c>
    </x:row>
    <x:row r="56" ht="60" customHeight="1">
      <x:c r="A56" s="23" t="n">
        <x:v>486</x:v>
      </x:c>
      <x:c r="B56" s="23" t="str">
        <x:v>LITE</x:v>
      </x:c>
      <x:c r="C56" s="53" t="n">
        <x:v>46188.08540509259</x:v>
      </x:c>
      <x:c r="D56" s="23" t="str">
        <x:v>aleabitoreddit</x:v>
      </x:c>
      <x:c r="E56" s="23" t="str">
        <x:v>bullish</x:v>
      </x:c>
      <x:c r="F56" s="34" t="n">
        <x:v>0.9</x:v>
      </x:c>
      <x:c r="G56" s="23" t="str">
        <x:v>auto</x:v>
      </x:c>
      <x:c r="H56" s="23"/>
      <x:c r="I56" s="23" t="str">
        <x:v>first_mention</x:v>
      </x:c>
      <x:c r="J56" s="23" t="str">
        <x:v>catalyst</x:v>
      </x:c>
      <x:c r="K56" s="50" t="str">
        <x:v>중국의 InP 기판 수출 완화로 LITE의 광학 부품 생산 병목 해소 및 수익 증가 기대</x:v>
      </x:c>
      <x:c r="L56" s="50" t="str">
        <x:v>Today, there's a new report that China eased InP substrate exports. 
Which is expected to relieve mass production bottlenecks in the photonics market (source: Digitimes)
My optical positions are very happy to hear this:
From $AXTI (substrates), $IQE (epiwafers) to $AAOI (lasers) / $LITE / $SIVE, and others. 
Taiwanese optical players like VPEC, Landmark, and others should go brrr as well. 
Just to recap: the photonics market, especially for laser companies is moreso "how much can you make" rather than how much demand is there. 
InP substrates was one of the main bottlenecks affecting upstream capacity.   
So if you're able to make more = more revenue.</x:v>
      </x:c>
      <x:c r="M56" s="65" t="str">
        <x:v>https://x.com/aleabitoreddit/status/2066340661633372452</x:v>
      </x:c>
      <x:c r="N56" s="23" t="str">
        <x:v>vote 변경</x:v>
      </x:c>
    </x:row>
    <x:row r="57" ht="60" customHeight="1">
      <x:c r="A57" s="23" t="n">
        <x:v>490</x:v>
      </x:c>
      <x:c r="B57" s="23" t="str">
        <x:v>LITE</x:v>
      </x:c>
      <x:c r="C57" s="53" t="n">
        <x:v>46188.13972222222</x:v>
      </x:c>
      <x:c r="D57" s="23" t="str">
        <x:v>aleabitoreddit</x:v>
      </x:c>
      <x:c r="E57" s="23" t="str">
        <x:v>bullish</x:v>
      </x:c>
      <x:c r="F57" s="34" t="n">
        <x:v>0.9</x:v>
      </x:c>
      <x:c r="G57" s="23" t="str">
        <x:v>auto</x:v>
      </x:c>
      <x:c r="H57" s="23"/>
      <x:c r="I57" s="23" t="str">
        <x:v>first_mention</x:v>
      </x:c>
      <x:c r="J57" s="23" t="str">
        <x:v>catalyst</x:v>
      </x:c>
      <x:c r="K57" s="50" t="str">
        <x:v>InP(인듐인) 공급 완화로 광학 부문 수혜 예상</x:v>
      </x:c>
      <x:c r="L57" s="50" t="str">
        <x:v>Yep, very stupid to be a bear.
When Trump is doing everything to boost markets before Midterms. 
On top, your $WOLF power semi basket should go brrr from 800 VDC acceleration.
$LITE optical basket should go brrr from InP easing.  
$SPCX successful IPO gives more appetite to risk on themes/IPOs (eg. Space sector).  
And overall macro go brr from War/Strait peace deals.
It’s already kind of showing, since 2026 rate hike odds also crashed from 65% -&gt; 35% following the news. Along with crude futures dropping. 
I've actually found Europe to be the most price sensitive to Iran tensions, so EU markets would probably be the most bullish overall… 
(South Korea/TW was originally with Sk Hynix moving directly in correlation to crude oil futures, but stopped caring after awhile).
But basically: Murica go brrrr.</x:v>
      </x:c>
      <x:c r="M57" s="65" t="str">
        <x:v>https://x.com/aleabitoreddit/status/2066360345774764496</x:v>
      </x:c>
      <x:c r="N57" s="23" t="str">
        <x:v>vote 변경</x:v>
      </x:c>
    </x:row>
    <x:row r="58" ht="60" customHeight="1">
      <x:c r="A58" s="23" t="n">
        <x:v>494</x:v>
      </x:c>
      <x:c r="B58" s="23" t="str">
        <x:v>LITE</x:v>
      </x:c>
      <x:c r="C58" s="53" t="n">
        <x:v>46188.14399305556</x:v>
      </x:c>
      <x:c r="D58" s="23" t="str">
        <x:v>aleabitoreddit</x:v>
      </x:c>
      <x:c r="E58" s="23" t="str">
        <x:v>bullish</x:v>
      </x:c>
      <x:c r="F58" s="34" t="n">
        <x:v>0.7</x:v>
      </x:c>
      <x:c r="G58" s="23" t="str">
        <x:v>needs_review</x:v>
      </x:c>
      <x:c r="H58" s="23" t="str">
        <x:v>stance</x:v>
      </x:c>
      <x:c r="I58" s="23" t="str">
        <x:v>first_mention</x:v>
      </x:c>
      <x:c r="J58" s="23" t="str">
        <x:v>catalyst</x:v>
      </x:c>
      <x:c r="K58" s="50" t="str">
        <x:v>$LITE 및 레이저 그룹이 InP 병목 완화로 인해 야간 거래에서 4-6% 상승함.</x:v>
      </x:c>
      <x:c r="L58" s="50" t="str">
        <x:v>@hisarchive lol I’m super bullish on my $SIVE position too.
&amp;gt; EU macro positive
&amp;gt; $LITE + laser group up 4-6% overnight trading from InP bottleneck easing
&amp;gt; possible Nasdaq listing timeline announcement today
We’ll see what happens.</x:v>
      </x:c>
      <x:c r="M58" s="65" t="str">
        <x:v>https://x.com/aleabitoreddit/status/2066361895595192583</x:v>
      </x:c>
      <x:c r="N58" s="23" t="str">
        <x:v>제외</x:v>
      </x:c>
    </x:row>
    <x:row r="59" ht="60" customHeight="1">
      <x:c r="A59" s="23" t="n">
        <x:v>518</x:v>
      </x:c>
      <x:c r="B59" s="23" t="str">
        <x:v>AAOI</x:v>
      </x:c>
      <x:c r="C59" s="53" t="n">
        <x:v>46188.58495370371</x:v>
      </x:c>
      <x:c r="D59" s="23" t="str">
        <x:v>aleabitoreddit</x:v>
      </x:c>
      <x:c r="E59" s="23" t="str">
        <x:v>bullish</x:v>
      </x:c>
      <x:c r="F59" s="34" t="n">
        <x:v>0.8</x:v>
      </x:c>
      <x:c r="G59" s="23" t="str">
        <x:v>auto</x:v>
      </x:c>
      <x:c r="H59" s="23"/>
      <x:c r="I59" s="23" t="str">
        <x:v>repeat</x:v>
      </x:c>
      <x:c r="J59" s="23" t="str">
        <x:v>thesis</x:v>
      </x:c>
      <x:c r="K59" s="50" t="str">
        <x:v>포토닉스 테마의 일환으로 AAOI에 대한 논문이 실현되고 있다.</x:v>
      </x:c>
      <x:c r="L59" s="50" t="str">
        <x:v>I’ve written a thesis on these 3 themes early on:
Neoclouds, Photonics, and Memory.
Now, it’s fun to sit back and watch all my thesis ideas play out from $AAOI to $EWY to $NBIS. 
Even got my warnings right too, $IREN is still stagnant due to the $6B of constant selling pressure from the ATM, while $NBIS reaches ATHs.
But the bagholders still don’t want to admit it.
Think a core part is knowing what theme comes next with markets, then comes picking the winner + heavy concentration in them.
If you went long on software and chose the ideal stock, you’d probably end up not as happy? 
Photonics is still probably the earliest out of the three.
But I can see Nebius end up like AWS one day.
And $MU / SK Hynix / Samsung potentially end up like a mini $NVDA if memory demand is structural.</x:v>
      </x:c>
      <x:c r="M59" s="65" t="str">
        <x:v>https://x.com/aleabitoreddit/status/2066521694836330618</x:v>
      </x:c>
      <x:c r="N59" s="23" t="str">
        <x:v>vote 변경</x:v>
      </x:c>
    </x:row>
    <x:row r="60" ht="60" customHeight="1">
      <x:c r="A60" s="23" t="n">
        <x:v>540</x:v>
      </x:c>
      <x:c r="B60" s="23" t="str">
        <x:v>NVDA</x:v>
      </x:c>
      <x:c r="C60" s="53" t="n">
        <x:v>46189.09788194444</x:v>
      </x:c>
      <x:c r="D60" s="23" t="str">
        <x:v>aleabitoreddit</x:v>
      </x:c>
      <x:c r="E60" s="23" t="str">
        <x:v>neutral</x:v>
      </x:c>
      <x:c r="F60" s="34" t="n">
        <x:v>0.6</x:v>
      </x:c>
      <x:c r="G60" s="23" t="str">
        <x:v>needs_review</x:v>
      </x:c>
      <x:c r="H60" s="23" t="str">
        <x:v>stance</x:v>
      </x:c>
      <x:c r="I60" s="23" t="str">
        <x:v>first_mention</x:v>
      </x:c>
      <x:c r="J60" s="23" t="str">
        <x:v>risk</x:v>
      </x:c>
      <x:c r="K60" s="50" t="str">
        <x:v>AMD가 NVDA에 의해 생산 능력이 제약되지 않도록 CW 레이저 공급을 확보 중</x:v>
      </x:c>
      <x:c r="L60" s="50" t="str">
        <x:v>New reports that $AMD is scrambling for CW laser supply. 
And is negotiating large-scale purchase orders for CW Lasers to ensure its production capacity is not constrained by $NVDA (Trendforce)
Obvious CW laser beneficiaries: 
- $SIVE (AMD went to GFS for CPO, Sivers reference laser level)
- $AAOI (Rosenblatt analyst checks)
Lumentum/Coherent are kinda booked out way into 2028 as well. 
Lumentum is especially constrained for CW capacity already from existing EML contracts (so they probably are buying from Sumitomo/Furukawa and co). 
Maybe Macom and Japanese giants still have spare capacity. (disclosure, own aaoi/sivers).
I predicted this last year and said hyperscalers should go more upstream to secure capacity... at laser levels, epiwafer levels, or even inp substrate levels. 
To not get bottlenecked by Nvidia.</x:v>
      </x:c>
      <x:c r="M60" s="65" t="str">
        <x:v>https://x.com/aleabitoreddit/status/2066707573139763211</x:v>
      </x:c>
      <x:c r="N60" s="23" t="str">
        <x:v>제외</x:v>
      </x:c>
    </x:row>
    <x:row r="61" ht="60" customHeight="1">
      <x:c r="A61" s="23" t="n">
        <x:v>543</x:v>
      </x:c>
      <x:c r="B61" s="23" t="str">
        <x:v>NVDA</x:v>
      </x:c>
      <x:c r="C61" s="53" t="n">
        <x:v>46189.21780092592</x:v>
      </x:c>
      <x:c r="D61" s="23" t="str">
        <x:v>aleabitoreddit</x:v>
      </x:c>
      <x:c r="E61" s="23" t="str">
        <x:v>bearish</x:v>
      </x:c>
      <x:c r="F61" s="34" t="n">
        <x:v>0.8</x:v>
      </x:c>
      <x:c r="G61" s="23" t="str">
        <x:v>auto</x:v>
      </x:c>
      <x:c r="H61" s="23"/>
      <x:c r="I61" s="23" t="str">
        <x:v>new_claim</x:v>
      </x:c>
      <x:c r="J61" s="23" t="str">
        <x:v>risk</x:v>
      </x:c>
      <x:c r="K61" s="50" t="str">
        <x:v>엔비디아가 EML 및 CW 용량을 병목 현상으로 만들어 업계에 부정적 영향을 줌</x:v>
      </x:c>
      <x:c r="L61" s="50" t="str">
        <x:v>Other way around, $NVDA bottlenecked the entire industry for EML capacity.
And did the same with CW capacity ONCE AGAIN with $LITE, $COHR, and $MRVL (if they have LTA in place with Celestial)
I said this a few months ago, we'd see this exact same playbook. But $AMD, $AMZN, $META, and others are just so stupidly slow that they let themselves get bottlenecked.
Now there's only a few merchant players like $AAOI, $MTSI, and $SIVE that they all need to fight over.</x:v>
      </x:c>
      <x:c r="M61" s="65" t="str">
        <x:v>https://x.com/aleabitoreddit/status/2066751027702079858</x:v>
      </x:c>
      <x:c r="N61" s="23" t="str">
        <x:v>vote 변경</x:v>
      </x:c>
    </x:row>
    <x:row r="62" ht="60" customHeight="1">
      <x:c r="A62" s="23" t="n">
        <x:v>550</x:v>
      </x:c>
      <x:c r="B62" s="23" t="str">
        <x:v>AAOI</x:v>
      </x:c>
      <x:c r="C62" s="53" t="n">
        <x:v>46189.21780092592</x:v>
      </x:c>
      <x:c r="D62" s="23" t="str">
        <x:v>aleabitoreddit</x:v>
      </x:c>
      <x:c r="E62" s="23" t="str">
        <x:v>bullish</x:v>
      </x:c>
      <x:c r="F62" s="34" t="n">
        <x:v>0.7</x:v>
      </x:c>
      <x:c r="G62" s="23" t="str">
        <x:v>needs_review</x:v>
      </x:c>
      <x:c r="H62" s="23" t="str">
        <x:v>stance</x:v>
      </x:c>
      <x:c r="I62" s="23" t="str">
        <x:v>new_claim</x:v>
      </x:c>
      <x:c r="J62" s="23" t="str">
        <x:v>catalyst</x:v>
      </x:c>
      <x:c r="K62" s="50" t="str">
        <x:v>AAOI는 머천트 플레이어로서 경쟁 대상이 되어 수혜 가능</x:v>
      </x:c>
      <x:c r="L62" s="50" t="str">
        <x:v>Other way around, $NVDA bottlenecked the entire industry for EML capacity.
And did the same with CW capacity ONCE AGAIN with $LITE, $COHR, and $MRVL (if they have LTA in place with Celestial)
I said this a few months ago, we'd see this exact same playbook. But $AMD, $AMZN, $META, and others are just so stupidly slow that they let themselves get bottlenecked.
Now there's only a few merchant players like $AAOI, $MTSI, and $SIVE that they all need to fight over.</x:v>
      </x:c>
      <x:c r="M62" s="65" t="str">
        <x:v>https://x.com/aleabitoreddit/status/2066751027702079858</x:v>
      </x:c>
      <x:c r="N62" s="23" t="str">
        <x:v>제외</x:v>
      </x:c>
    </x:row>
    <x:row r="63" ht="60" customHeight="1">
      <x:c r="A63" s="23" t="n">
        <x:v>555</x:v>
      </x:c>
      <x:c r="B63" s="23" t="str">
        <x:v>AAOI</x:v>
      </x:c>
      <x:c r="C63" s="53" t="n">
        <x:v>46189.31170138889</x:v>
      </x:c>
      <x:c r="D63" s="23" t="str">
        <x:v>aleabitoreddit</x:v>
      </x:c>
      <x:c r="E63" s="23" t="str">
        <x:v>bullish</x:v>
      </x:c>
      <x:c r="F63" s="34" t="n">
        <x:v>1</x:v>
      </x:c>
      <x:c r="G63" s="23" t="str">
        <x:v>auto</x:v>
      </x:c>
      <x:c r="H63" s="23"/>
      <x:c r="I63" s="23" t="str">
        <x:v>repeat</x:v>
      </x:c>
      <x:c r="J63" s="23" t="str">
        <x:v>thesis</x:v>
      </x:c>
      <x:c r="K63" s="50" t="str">
        <x:v>작년에 제시한 아이디어가 방향성 측면에서 옳았으며, 시가총액이 2B에서 15.37B로 크게 증가함.</x:v>
      </x:c>
      <x:c r="L63" s="50" t="str">
        <x:v>Fun throwback to random ideas back in 2025.
Back then, $AAOI was $2B MC, $LITE was a $26B MC, $AXTI was $500M
Now:
- AAOI is $15.37B
- Lumentum is $74.47B
- AXT is $7.24B
Was working off less information back then, given it was an early theme. 
Obviously nuances with ASIC programs might have been missed as more details came out. 
But directionally, glad thematically my ideas turned out correct. 
Feels like dejavu seeing current $3B MC optical longs like $SIVE.</x:v>
      </x:c>
      <x:c r="M63" s="65" t="str">
        <x:v>https://x.com/aleabitoreddit/status/2066785056031670657</x:v>
      </x:c>
      <x:c r="N63" s="23" t="str">
        <x:v>vote 변경</x:v>
      </x:c>
    </x:row>
    <x:row r="64" ht="60" customHeight="1">
      <x:c r="A64" s="23" t="n">
        <x:v>556</x:v>
      </x:c>
      <x:c r="B64" s="23" t="str">
        <x:v>LITE</x:v>
      </x:c>
      <x:c r="C64" s="53" t="n">
        <x:v>46189.31170138889</x:v>
      </x:c>
      <x:c r="D64" s="23" t="str">
        <x:v>aleabitoreddit</x:v>
      </x:c>
      <x:c r="E64" s="23" t="str">
        <x:v>bullish</x:v>
      </x:c>
      <x:c r="F64" s="34" t="n">
        <x:v>1</x:v>
      </x:c>
      <x:c r="G64" s="23" t="str">
        <x:v>auto</x:v>
      </x:c>
      <x:c r="H64" s="23"/>
      <x:c r="I64" s="23" t="str">
        <x:v>repeat</x:v>
      </x:c>
      <x:c r="J64" s="23" t="str">
        <x:v>thesis</x:v>
      </x:c>
      <x:c r="K64" s="50" t="str">
        <x:v>작년에 제시한 아이디어가 방향성 측면에서 옳았으며, 시가총액이 26B에서 74.47B로 크게 증가함.</x:v>
      </x:c>
      <x:c r="L64" s="50" t="str">
        <x:v>Fun throwback to random ideas back in 2025.
Back then, $AAOI was $2B MC, $LITE was a $26B MC, $AXTI was $500M
Now:
- AAOI is $15.37B
- Lumentum is $74.47B
- AXT is $7.24B
Was working off less information back then, given it was an early theme. 
Obviously nuances with ASIC programs might have been missed as more details came out. 
But directionally, glad thematically my ideas turned out correct. 
Feels like dejavu seeing current $3B MC optical longs like $SIVE.</x:v>
      </x:c>
      <x:c r="M64" s="65" t="str">
        <x:v>https://x.com/aleabitoreddit/status/2066785056031670657</x:v>
      </x:c>
      <x:c r="N64" s="23" t="str">
        <x:v>vote 변경</x:v>
      </x:c>
    </x:row>
    <x:row r="65" ht="60" customHeight="1">
      <x:c r="A65" s="23" t="n">
        <x:v>554</x:v>
      </x:c>
      <x:c r="B65" s="23" t="str">
        <x:v>AAOI</x:v>
      </x:c>
      <x:c r="C65" s="53" t="n">
        <x:v>46189.312997685185</x:v>
      </x:c>
      <x:c r="D65" s="23" t="str">
        <x:v>aleabitoreddit</x:v>
      </x:c>
      <x:c r="E65" s="23" t="str">
        <x:v>bullish</x:v>
      </x:c>
      <x:c r="F65" s="34" t="n">
        <x:v>0.9</x:v>
      </x:c>
      <x:c r="G65" s="23" t="str">
        <x:v>auto</x:v>
      </x:c>
      <x:c r="H65" s="23"/>
      <x:c r="I65" s="23" t="str">
        <x:v>repeat</x:v>
      </x:c>
      <x:c r="J65" s="23" t="str">
        <x:v>positioning</x:v>
      </x:c>
      <x:c r="K65" s="50" t="str">
        <x:v>AAOI에 대한 기존 포지션이 여전히 유효하며, 새로운 포지션을 열 필요가 없을 정도로 확신함.</x:v>
      </x:c>
      <x:c r="L65" s="50" t="str">
        <x:v>@cchronobreakk I don't need to open any new US stock position when all my ideas from memory to photonics like $AAOI are still playing out?</x:v>
      </x:c>
      <x:c r="M65" s="65" t="str">
        <x:v>https://x.com/aleabitoreddit/status/2066785528259969485</x:v>
      </x:c>
      <x:c r="N65" s="23" t="str">
        <x:v>vote 변경</x:v>
      </x:c>
    </x:row>
    <x:row r="66" ht="60" customHeight="1">
      <x:c r="A66" s="23" t="n">
        <x:v>563</x:v>
      </x:c>
      <x:c r="B66" s="23" t="str">
        <x:v>NVDA</x:v>
      </x:c>
      <x:c r="C66" s="53" t="n">
        <x:v>46189.329675925925</x:v>
      </x:c>
      <x:c r="D66" s="23" t="str">
        <x:v>aleabitoreddit</x:v>
      </x:c>
      <x:c r="E66" s="23" t="str">
        <x:v>bullish</x:v>
      </x:c>
      <x:c r="F66" s="34" t="n">
        <x:v>0.7</x:v>
      </x:c>
      <x:c r="G66" s="23" t="str">
        <x:v>needs_review</x:v>
      </x:c>
      <x:c r="H66" s="23" t="str">
        <x:v>stance</x:v>
      </x:c>
      <x:c r="I66" s="23" t="str">
        <x:v>repeat</x:v>
      </x:c>
      <x:c r="J66" s="23" t="str">
        <x:v>other</x:v>
      </x:c>
      <x:c r="K66" s="50" t="str">
        <x:v>MU를 NVDA에 비유하며 NVDA의 성장성을 간접적으로 긍정 평가.</x:v>
      </x:c>
      <x:c r="L66" s="50" t="str">
        <x:v>I did say $MU looked like the next $NVDA. Now we're at a $1.23T MC.
Started talking more about Samsung Electronics/Sk Hynix back in 2025. 
Put more concentration into the memory theme like $SNDK and others, Jan of this year. 
And I'm glad my prediction with Micron + memory is playing out well! 
Hope people had fun with $EWY longs too, those are up a lot.</x:v>
      </x:c>
      <x:c r="M66" s="65" t="str">
        <x:v>https://x.com/aleabitoreddit/status/2066791570569916832</x:v>
      </x:c>
      <x:c r="N66" s="23" t="str">
        <x:v>제외</x:v>
      </x:c>
    </x:row>
    <x:row r="67" ht="60" customHeight="1">
      <x:c r="A67" s="23" t="n">
        <x:v>594</x:v>
      </x:c>
      <x:c r="B67" s="23" t="str">
        <x:v>NVDA</x:v>
      </x:c>
      <x:c r="C67" s="53" t="n">
        <x:v>46189.44892361111</x:v>
      </x:c>
      <x:c r="D67" s="23" t="str">
        <x:v>aleabitoreddit</x:v>
      </x:c>
      <x:c r="E67" s="23" t="str">
        <x:v>bullish</x:v>
      </x:c>
      <x:c r="F67" s="34" t="n">
        <x:v>0.7</x:v>
      </x:c>
      <x:c r="G67" s="23" t="str">
        <x:v>needs_review</x:v>
      </x:c>
      <x:c r="H67" s="23" t="str">
        <x:v>stance</x:v>
      </x:c>
      <x:c r="I67" s="23" t="str">
        <x:v>first_mention</x:v>
      </x:c>
      <x:c r="J67" s="23" t="str">
        <x:v>thesis</x:v>
      </x:c>
      <x:c r="K67" s="50" t="str">
        <x:v>Foci가 NVDA의 병목이 될 것이며, Nextronics는 NVDA 공급망에서 광학 부품 수혜를 볼 것</x:v>
      </x:c>
      <x:c r="L67" s="50" t="str">
        <x:v>Still holding Foci/Nextronics. There was a CPO bear post from an analyst that said there would be delays (which $NVDA denied), which caused CPO related stocks to crash. 
Personally think Foci will end up a bottleneck for $TSM COUPE / $NVDA and Nextronics to be a beneficiary of optical components relative to MC in $NVDA supply chains. 
We'll see how this plays out.</x:v>
      </x:c>
      <x:c r="M67" s="65" t="str">
        <x:v>https://x.com/aleabitoreddit/status/2066834785264337018</x:v>
      </x:c>
      <x:c r="N67" s="23" t="str">
        <x:v>제외</x:v>
      </x:c>
    </x:row>
    <x:row r="68" ht="60" customHeight="1">
      <x:c r="A68" s="23" t="n">
        <x:v>607</x:v>
      </x:c>
      <x:c r="B68" s="23" t="str">
        <x:v>NVDA</x:v>
      </x:c>
      <x:c r="C68" s="53" t="n">
        <x:v>46189.54184027778</x:v>
      </x:c>
      <x:c r="D68" s="23" t="str">
        <x:v>aleabitoreddit</x:v>
      </x:c>
      <x:c r="E68" s="23" t="str">
        <x:v>neutral</x:v>
      </x:c>
      <x:c r="F68" s="34" t="n">
        <x:v>0.6</x:v>
      </x:c>
      <x:c r="G68" s="23" t="str">
        <x:v>needs_review</x:v>
      </x:c>
      <x:c r="H68" s="23" t="str">
        <x:v>stance</x:v>
      </x:c>
      <x:c r="I68" s="23" t="str">
        <x:v>repeat</x:v>
      </x:c>
      <x:c r="J68" s="23" t="str">
        <x:v>valuation</x:v>
      </x:c>
      <x:c r="K68" s="50" t="str">
        <x:v>네오클라우드와의 GPU 구매 계약으로 인한 순환 평가 가능성</x:v>
      </x:c>
      <x:c r="L68" s="50" t="str">
        <x:v>Just some random thoughts, I do think AI is the most disruptive technology in human history. 
To the level of agricultural or industrial revolution.
Since Anthropic, OpenAi, XAI, and others are racing to build superintelligence. 
The amount of economic impact can't be measured if AI helps find cures for cancer or accelerates discovery for Quantum Computing. 
Or if AI end up displacing the workforce, which increases profitability for companies. 
The US Gov has every incentive to keep the buildout going too, as the implications from Warfare, Cybersecurity, is also immeasurable if China takes the lead. 
So there's likely to be incentives and subsidies to win, even if there's not enough profit derived LLM training/inference. 
As for sustainability, when you look upstream, $GOOGL is able to fund it majorly with their own cashflow, same with $AMZN, $MSFT. 
More lukewarm on $META. Very iffy about $ORCL. 
But I do see some bubbles forming around debt interest like $CRWV.
Maybe circular valuations that's happening with OpenAI backlog agreements or $NVDA / $AMD agreements with Neoclouds to buy their GPUs.
But as seen with $MSFT and having OpenAI be a major part of the backlog, it did correct off the information, so "bubbles" like that do pop despite the overall markets increasing.
Definitely don't see a bubble in upstream semiconductors from $LITE to Sk Hynix though since the amount of profit they get from the buildout would likely be insane to make up for capex decreasing. 
OpenAI was actually my biggest fear from contagion, eg. $CRWV, $CBRS and others, but they just raised a lot.
So think it will be fine for another 1 1/2 years of capex, especially if they IPO this year. 
I also don't think we'll get massive Fed tightening despite "predictions" since this will trigger a contagion since many of these players rely heavily on debt. 
And although the Fed is independent, don't think Trump would have supported someone who is against his administration goals.  
As for semiconductor valuations going up every day like $AMD or $MU, there's probably going to be some corrections here and there. Everything going up together is kinda unhealthy. 
Can't time the capex peak but just from $AVGO and other projections, it just keeps accelerating exponentially into 2028. 
Especially as everyone is starting to sign multi year agreements as well. 
OpenAI contagion / hyperscaler capex decreasing / fed tightening was what I'm looking out for, and no blaring signs of any of those yet. 
So I think the music will keep playing for this year at the bare minimum.</x:v>
      </x:c>
      <x:c r="M68" s="65" t="str">
        <x:v>https://x.com/aleabitoreddit/status/2066868456457416871</x:v>
      </x:c>
      <x:c r="N68" s="23" t="str">
        <x:v>제외</x:v>
      </x:c>
    </x:row>
    <x:row r="69" ht="60" customHeight="1">
      <x:c r="A69" s="23" t="n">
        <x:v>573</x:v>
      </x:c>
      <x:c r="B69" s="23" t="str">
        <x:v>NVDA</x:v>
      </x:c>
      <x:c r="C69" s="53" t="n">
        <x:v>46189.99847222222</x:v>
      </x:c>
      <x:c r="D69" s="23" t="str">
        <x:v>aleabitoreddit</x:v>
      </x:c>
      <x:c r="E69" s="23" t="str">
        <x:v>bullish</x:v>
      </x:c>
      <x:c r="F69" s="34" t="n">
        <x:v>0.8</x:v>
      </x:c>
      <x:c r="G69" s="23" t="str">
        <x:v>auto</x:v>
      </x:c>
      <x:c r="H69" s="23"/>
      <x:c r="I69" s="23" t="str">
        <x:v>new_claim</x:v>
      </x:c>
      <x:c r="J69" s="23" t="str">
        <x:v>growth</x:v>
      </x:c>
      <x:c r="K69" s="50" t="str">
        <x:v>NVDA 수요 증가로 광학 엔진 전망 상향 조정</x:v>
      </x:c>
      <x:c r="L69" s="50" t="str">
        <x:v>Mizuho Research: No delays on CPO or 800v dc. 
Revised up optical engine projections from $NVDA demand ramp.  
- Next phase in CPO for long term, believes InP DFB lasers remains the focus (hello $SIVE). VSCEL and microLED remain "unproven" in short distance in rack + chip to chip for 1.6T+ 
- HVDC deployment on track, 800VDC incremental volume 2027, with higher penetration in 2028.
What a stupid CPO related selloff recently.</x:v>
      </x:c>
      <x:c r="M69" s="65" t="str">
        <x:v>https://x.com/aleabitoreddit/status/2067033934194696469</x:v>
      </x:c>
      <x:c r="N69" s="23" t="str">
        <x:v>vote 변경</x:v>
      </x:c>
    </x:row>
    <x:row r="70" ht="60" customHeight="1">
      <x:c r="A70" s="23" t="n">
        <x:v>575</x:v>
      </x:c>
      <x:c r="B70" s="23" t="str">
        <x:v>AAOI</x:v>
      </x:c>
      <x:c r="C70" s="53" t="n">
        <x:v>46190.10202546296</x:v>
      </x:c>
      <x:c r="D70" s="23" t="str">
        <x:v>aleabitoreddit</x:v>
      </x:c>
      <x:c r="E70" s="23" t="str">
        <x:v>bullish</x:v>
      </x:c>
      <x:c r="F70" s="34" t="n">
        <x:v>1</x:v>
      </x:c>
      <x:c r="G70" s="23" t="str">
        <x:v>auto</x:v>
      </x:c>
      <x:c r="H70" s="23"/>
      <x:c r="I70" s="23" t="str">
        <x:v>first_mention</x:v>
      </x:c>
      <x:c r="J70" s="23" t="str">
        <x:v>thesis</x:v>
      </x:c>
      <x:c r="K70" s="50" t="str">
        <x:v>AAOI는 고수익 장기 투자처로, 레이저 용량 부족, AMD 및 하이퍼스케일러 수요, 미국 내 트랜시버 공급망, 2027년 월 4.71억 달러 매출 전망 등이 강력한 성장 동력</x:v>
      </x:c>
      <x:c r="L70" s="50" t="str">
        <x:v>I’m not sure why many folks are super bearish on my high conviction $AAOI long… 
Ever since $30, then on the way up to $170. (Yes I do think every bear is wrong, we’ll see who’s right).
They have scarce laser capacity that $AMD and other hyperscalers are looking for.
While the entire industry is bottlenecked by $NVDA. 
Along with a US transceiver supply chain for mass production of 800g/1.6T (management - largest in America).
While demand far exceeds supply and while assembly gets outsourced to Asia.
Then they’re quoting $471M monthly revenue in H1 entering H2 of 2027. Which is $5.6B ARR, off a $13.5B MC…
While a lot of major inflection volume hits even later in 2028.
As for fluctuations, there might be active $600M ATMs that get tapped into at random times. 
And random bear posts + macro from time to time that cause more volatility (eg. Analyst notes saying bear on $LITE due to false CPO delay rumors, then that brings down others in the sector).
Also we’re a year out so timelines are still a little early.
I haven’t seen such fast revenue ramp since $NBIS.</x:v>
      </x:c>
      <x:c r="M70" s="65" t="str">
        <x:v>https://x.com/aleabitoreddit/status/2067071462360666165</x:v>
      </x:c>
      <x:c r="N70" s="23" t="str">
        <x:v>vote 변경</x:v>
      </x:c>
    </x:row>
    <x:row r="71" ht="60" customHeight="1">
      <x:c r="A71" s="23" t="n">
        <x:v>572</x:v>
      </x:c>
      <x:c r="B71" s="23" t="str">
        <x:v>AAOI</x:v>
      </x:c>
      <x:c r="C71" s="53" t="n">
        <x:v>46190.1252662037</x:v>
      </x:c>
      <x:c r="D71" s="23" t="str">
        <x:v>aleabitoreddit</x:v>
      </x:c>
      <x:c r="E71" s="23" t="str">
        <x:v>neutral</x:v>
      </x:c>
      <x:c r="F71" s="34" t="n">
        <x:v>0.5</x:v>
      </x:c>
      <x:c r="G71" s="23" t="str">
        <x:v>needs_review</x:v>
      </x:c>
      <x:c r="H71" s="23" t="str">
        <x:v>stance</x:v>
      </x:c>
      <x:c r="I71" s="23" t="str">
        <x:v>first_mention</x:v>
      </x:c>
      <x:c r="J71" s="23" t="str">
        <x:v>positioning</x:v>
      </x:c>
      <x:c r="K71" s="50" t="str">
        <x:v>AAOI는 논쟁이 많은 종목으로 언급됨.</x:v>
      </x:c>
      <x:c r="L71" s="50" t="str">
        <x:v>@AsianbeBlazin Yep, but there hasn’t been any much news with $AEHR. 
Not really heavily debated stock like $AAOI aside from one or two comments saying AEHR would go back down to $25.</x:v>
      </x:c>
      <x:c r="M71" s="65" t="str">
        <x:v>https://x.com/aleabitoreddit/status/2067079883420049889</x:v>
      </x:c>
      <x:c r="N71" s="23" t="str">
        <x:v>제외</x:v>
      </x:c>
    </x:row>
    <x:row r="72" ht="60" customHeight="1">
      <x:c r="A72" s="23" t="n">
        <x:v>586</x:v>
      </x:c>
      <x:c r="B72" s="23" t="str">
        <x:v>AAOI</x:v>
      </x:c>
      <x:c r="C72" s="53" t="n">
        <x:v>46190.47530092593</x:v>
      </x:c>
      <x:c r="D72" s="23" t="str">
        <x:v>aleabitoreddit</x:v>
      </x:c>
      <x:c r="E72" s="23" t="str">
        <x:v>bullish</x:v>
      </x:c>
      <x:c r="F72" s="34" t="n">
        <x:v>0.8</x:v>
      </x:c>
      <x:c r="G72" s="23" t="str">
        <x:v>auto</x:v>
      </x:c>
      <x:c r="H72" s="23"/>
      <x:c r="I72" s="23" t="str">
        <x:v>first_mention</x:v>
      </x:c>
      <x:c r="J72" s="23" t="str">
        <x:v>thesis</x:v>
      </x:c>
      <x:c r="K72" s="50" t="str">
        <x:v>AAOI는 CW 레이저 공급망에서 중요한 독립적 역량을 가진 기업으로, AMD의 수요 증가로 수혜 예상</x:v>
      </x:c>
      <x:c r="L72" s="50" t="str">
        <x:v>Trendforce reports that $AMD is actively trying to secure CW laser supply with multiple major procurement orders...
Is probably just the start of the bottleneck?  
There's not much independent capacity in Western supply chains left other than $SIVE or $AAOI and maybe Macom. 
Especially after Lumentum/Coherent got locked up with multi-year agreements with Nvidia. (disclosure, own Sive and aaoi)
Lumentum is already CW laser constrained and is likely buying off Japanese companies like Sumitomo/Furukawa if I had to guess per ER, and those are probably running at max capacity.  
From the Trendforce report, this is:
"to ensure that its future capacity will not be constrained by NVIDIA and other major Cloud Service Providers (CSPs)."
I wouldn't be surprised if other hyperscalers like Amazon, Microsoft, and others saw Nvidia / AMD signing LTAs, and are trying to secure capacity next. 
A lot of it is game theory on not getting choked out by competitors, and looks like AMD is tipping the first domino after Nvidia.
But my opinion is that this just goes and show how invaluable this CW laser chokepoint is and the companies are inside it.</x:v>
      </x:c>
      <x:c r="M72" s="65" t="str">
        <x:v>https://x.com/aleabitoreddit/status/2067206734427697196</x:v>
      </x:c>
      <x:c r="N72" s="23" t="str">
        <x:v>vote 변경</x:v>
      </x:c>
    </x:row>
    <x:row r="73" ht="60" customHeight="1">
      <x:c r="A73" s="23" t="n">
        <x:v>614</x:v>
      </x:c>
      <x:c r="B73" s="23" t="str">
        <x:v>AAOI</x:v>
      </x:c>
      <x:c r="C73" s="53" t="n">
        <x:v>46191.4015162037</x:v>
      </x:c>
      <x:c r="D73" s="23" t="str">
        <x:v>aleabitoreddit</x:v>
      </x:c>
      <x:c r="E73" s="23" t="str">
        <x:v>bullish</x:v>
      </x:c>
      <x:c r="F73" s="34" t="n">
        <x:v>0.9</x:v>
      </x:c>
      <x:c r="G73" s="23" t="str">
        <x:v>auto</x:v>
      </x:c>
      <x:c r="H73" s="23"/>
      <x:c r="I73" s="23" t="str">
        <x:v>first_mention</x:v>
      </x:c>
      <x:c r="J73" s="23" t="str">
        <x:v>thesis</x:v>
      </x:c>
      <x:c r="K73" s="50" t="str">
        <x:v>AAOI는 레이저 판매를 넘어 완전한 광모듈, 광엔진, ELS(외부 광원) 컴포넌트를 제조함으로써 수익 확장에 큰 잠재력을 가짐.</x:v>
      </x:c>
      <x:c r="L73" s="50" t="str">
        <x:v>非常感谢中文社区对我最看好股票的投资思路进行的深度剖析！
总的来说，像 $AAOI 和 $SIVE 这样的激光公司是我个人的最爱，因为它们在拓展营收方面有着极大的想象空间。它们可以不仅仅局限于销售激光器，还能制造完整的光模块 以及各种光引擎或 ELS (外部光源) 组件。
又或者像 $COHR 那样，甚至可以向上游延伸进军衬底制造领域，从而实现垂直整合，并不断提升自身的毛利率和总潜在市场规模 TAM
这其中很大一部分的关键在于要率先精准踩中投资主线，毕竟去年很多人甚至都不觉得“光子学（photonics）”能成为一个真正的热门概念。
而且我认为最会让大多数人感到惊讶的是，我们目前仍处于极其早期的阶段。绝大多数的营收放量（爬坡）要到明年，也就是 2027 年的上半年乃至下半年才会真正开始！
不过，能看到中文社区大家持续不断的支持，真的让我感觉非常棒。我会尽我所能，不辜负大家给我起的 “白毛股神” 这个称号。</x:v>
      </x:c>
      <x:c r="M73" s="65" t="str">
        <x:v>https://x.com/aleabitoreddit/status/2067542382523122001</x:v>
      </x:c>
      <x:c r="N73" s="23" t="str">
        <x:v>vote 변경</x:v>
      </x:c>
    </x:row>
    <x:row r="74" ht="60" customHeight="1">
      <x:c r="A74" s="23" t="n">
        <x:v>616</x:v>
      </x:c>
      <x:c r="B74" s="23" t="str">
        <x:v>COHR</x:v>
      </x:c>
      <x:c r="C74" s="53" t="n">
        <x:v>46191.4015162037</x:v>
      </x:c>
      <x:c r="D74" s="23" t="str">
        <x:v>aleabitoreddit</x:v>
      </x:c>
      <x:c r="E74" s="23" t="str">
        <x:v>bullish</x:v>
      </x:c>
      <x:c r="F74" s="34" t="n">
        <x:v>0.9</x:v>
      </x:c>
      <x:c r="G74" s="23" t="str">
        <x:v>auto</x:v>
      </x:c>
      <x:c r="H74" s="23"/>
      <x:c r="I74" s="23" t="str">
        <x:v>first_mention</x:v>
      </x:c>
      <x:c r="J74" s="23" t="str">
        <x:v>thesis</x:v>
      </x:c>
      <x:c r="K74" s="50" t="str">
        <x:v>COHR은 상류 기판 제조로 진출하여 수직통합을 이루고 마진과 TAM을 확대할 수 있음.</x:v>
      </x:c>
      <x:c r="L74" s="50" t="str">
        <x:v>非常感谢中文社区对我最看好股票的投资思路进行的深度剖析！
总的来说，像 $AAOI 和 $SIVE 这样的激光公司是我个人的最爱，因为它们在拓展营收方面有着极大的想象空间。它们可以不仅仅局限于销售激光器，还能制造完整的光模块 以及各种光引擎或 ELS (外部光源) 组件。
又或者像 $COHR 那样，甚至可以向上游延伸进军衬底制造领域，从而实现垂直整合，并不断提升自身的毛利率和总潜在市场规模 TAM
这其中很大一部分的关键在于要率先精准踩中投资主线，毕竟去年很多人甚至都不觉得“光子学（photonics）”能成为一个真正的热门概念。
而且我认为最会让大多数人感到惊讶的是，我们目前仍处于极其早期的阶段。绝大多数的营收放量（爬坡）要到明年，也就是 2027 年的上半年乃至下半年才会真正开始！
不过，能看到中文社区大家持续不断的支持，真的让我感觉非常棒。我会尽我所能，不辜负大家给我起的 “白毛股神” 这个称号。</x:v>
      </x:c>
      <x:c r="M74" s="65" t="str">
        <x:v>https://x.com/aleabitoreddit/status/2067542382523122001</x:v>
      </x:c>
      <x:c r="N74" s="23" t="str">
        <x:v>vote 변경</x:v>
      </x:c>
    </x:row>
    <x:row r="75" ht="60" customHeight="1">
      <x:c r="A75" s="23" t="n">
        <x:v>625</x:v>
      </x:c>
      <x:c r="B75" s="23" t="str">
        <x:v>AAOI</x:v>
      </x:c>
      <x:c r="C75" s="53" t="n">
        <x:v>46191.633252314816</x:v>
      </x:c>
      <x:c r="D75" s="23" t="str">
        <x:v>aleabitoreddit</x:v>
      </x:c>
      <x:c r="E75" s="23" t="str">
        <x:v>bullish</x:v>
      </x:c>
      <x:c r="F75" s="34" t="n">
        <x:v>0.7</x:v>
      </x:c>
      <x:c r="G75" s="23" t="str">
        <x:v>needs_review</x:v>
      </x:c>
      <x:c r="H75" s="23" t="str">
        <x:v>stance</x:v>
      </x:c>
      <x:c r="I75" s="23" t="str">
        <x:v>first_mention</x:v>
      </x:c>
      <x:c r="J75" s="23" t="str">
        <x:v>catalyst</x:v>
      </x:c>
      <x:c r="K75" s="50" t="str">
        <x:v>AAOI가 AMD의 CW 레이저 대량 구매 계약 후보로 추정됨.</x:v>
      </x:c>
      <x:c r="L75" s="50" t="str">
        <x:v>@degenlurker_ $AAOI + $SIVEF were my two likely guesses for $AMD large purchase agreements for CW lasers. We'll see what happens. 
given aaoi + amd analyst channel checks. and amd + gfs/sivers reference laser.</x:v>
      </x:c>
      <x:c r="M75" s="65" t="str">
        <x:v>https://x.com/aleabitoreddit/status/2067626358940082653</x:v>
      </x:c>
      <x:c r="N75" s="23" t="str">
        <x:v>제외</x:v>
      </x:c>
    </x:row>
    <x:row r="76" ht="60" customHeight="1">
      <x:c r="A76" s="23" t="n">
        <x:v>631</x:v>
      </x:c>
      <x:c r="B76" s="23" t="str">
        <x:v>AAOI</x:v>
      </x:c>
      <x:c r="C76" s="53" t="n">
        <x:v>46192.38893518518</x:v>
      </x:c>
      <x:c r="D76" s="23" t="str">
        <x:v>aleabitoreddit</x:v>
      </x:c>
      <x:c r="E76" s="23" t="str">
        <x:v>bullish</x:v>
      </x:c>
      <x:c r="F76" s="34" t="n">
        <x:v>0.9</x:v>
      </x:c>
      <x:c r="G76" s="23" t="str">
        <x:v>auto</x:v>
      </x:c>
      <x:c r="H76" s="23"/>
      <x:c r="I76" s="23" t="str">
        <x:v>first_mention</x:v>
      </x:c>
      <x:c r="J76" s="23" t="str">
        <x:v>catalyst</x:v>
      </x:c>
      <x:c r="K76" s="50" t="str">
        <x:v>AAOI는 업계의 레이저/용량 제약 속에서 월 4억7100만 달러의 매출 전망과 독립적인 공급망, 미국 내 생산을 통해 강세를 보일 것.</x:v>
      </x:c>
      <x:c r="L76" s="50" t="str">
        <x:v>@TW_trades_ Let’s just say bears are regarded when the entire industry is laser/capacity constrained.
Then $AAOI comes in with $471m/month projections with a lot of independent supply, which happens to be located in the US too.</x:v>
      </x:c>
      <x:c r="M76" s="65" t="str">
        <x:v>https://x.com/aleabitoreddit/status/2067900211721376253</x:v>
      </x:c>
      <x:c r="N76" s="23" t="str">
        <x:v>vote 변경</x:v>
      </x:c>
    </x:row>
    <x:row r="77" ht="60" customHeight="1">
      <x:c r="A77" s="23" t="n">
        <x:v>1130</x:v>
      </x:c>
      <x:c r="B77" s="23" t="str">
        <x:v>LITE</x:v>
      </x:c>
      <x:c r="C77" s="53" t="n">
        <x:v>46192.51363425926</x:v>
      </x:c>
      <x:c r="D77" s="23" t="str">
        <x:v>aleabitoreddit</x:v>
      </x:c>
      <x:c r="E77" s="23" t="str">
        <x:v>bullish</x:v>
      </x:c>
      <x:c r="F77" s="34" t="n">
        <x:v>0.9</x:v>
      </x:c>
      <x:c r="G77" s="23" t="str">
        <x:v>auto</x:v>
      </x:c>
      <x:c r="H77" s="23"/>
      <x:c r="I77" s="23" t="str">
        <x:v>repeat</x:v>
      </x:c>
      <x:c r="J77" s="23" t="str">
        <x:v>thesis</x:v>
      </x:c>
      <x:c r="K77" s="50" t="str">
        <x:v>대형주 및 소형주 아이디어로 잘 작동</x:v>
      </x:c>
      <x:c r="L77" s="50" t="str">
        <x:v>I think something to highlight also is not all my ideas are green, especially on short term timeframes!
My core three themes are Neoclouds (Energy), Memory, and Photonics. 
And I'm glad I chose the literal top performers for each segment from $NBIS to $EWY leaps to $SIVE. 
However, I still have pretty large losses following the false analyst report on CPO delays that $NVDA refuted:
That nuked 3 of my TW CPO longs from Foci, Msscorp, Xintec and others. (which are heavily red). Shunsin / Win Semi are holding up much better though. 
Some of the other ones in Japan that I've mentioned like Towa, Harmonic Drive, NCI, etc. are performing much better following short-term volatility. 
As for Korea yes I have PTSD for from Auros and now Foosung that are both both red (I didn't own 093370 though, just got PTSD watching price action). 
Idk if I'll touch Korea again, just way too volatile. But I still think those will end up green eventually following Sk hynix/samsung qualifications + HVM, and the future japanese supply chain shutdown. 
I also did change some of my previous long ideas like $XLU following the Iran War nuking all chances of rate cuts from 3-4 down to 0, and that didn't play out too well. Three software names I mentioned previously like $TTD, $META ended up red. $SNAP, I also changed my thesis after noticing the endless SBC accounting methods. $RDDT idea was finally in the green from $130 -&gt; $170 after a long time. 
But I think the vast majority of my ideas like $MRVL, $NBIS, $ARM, $INTC, $MU, $LITE, SK Hynix, Samsung, for larger cap. 
Down to $AXTI, $LITE, $AAOI, $RPI, $IQE, and others for smaller cap positions directionally play out pretty well. 
With random stuff like $SIMO, $HPS.A, $TSEM, $AEHR, $LPK, $SOI, $ALRIB, and so on all ended up turning out aight too. 
The blended average is kinda overwhelmingly green since majority of my long ideas are triple digit YTD.  
But I've definitely missed a few. 
Also entry point is really important too... I mentioned $AAOI at $30 or $AXTI at ~$13, but not everyone has the same entry point. So if someone bought AOI at $220 and it dropped to $160, I'd feel bad. 
But regardless, I'd prefer to judge how ideas play out on medium term timeframes over a few months rather than a few weeks.</x:v>
      </x:c>
      <x:c r="M77" s="65" t="str">
        <x:v>https://x.com/aleabitoreddit/status/2067945397923037693</x:v>
      </x:c>
      <x:c r="N77" s="23" t="str">
        <x:v>vote 변경</x:v>
      </x:c>
    </x:row>
    <x:row r="78" ht="60" customHeight="1">
      <x:c r="A78" s="23" t="n">
        <x:v>1132</x:v>
      </x:c>
      <x:c r="B78" s="23" t="str">
        <x:v>AAOI</x:v>
      </x:c>
      <x:c r="C78" s="53" t="n">
        <x:v>46192.51363425926</x:v>
      </x:c>
      <x:c r="D78" s="23" t="str">
        <x:v>aleabitoreddit</x:v>
      </x:c>
      <x:c r="E78" s="23" t="str">
        <x:v>bullish</x:v>
      </x:c>
      <x:c r="F78" s="34" t="n">
        <x:v>0.8</x:v>
      </x:c>
      <x:c r="G78" s="23" t="str">
        <x:v>auto</x:v>
      </x:c>
      <x:c r="H78" s="23"/>
      <x:c r="I78" s="23" t="str">
        <x:v>repeat</x:v>
      </x:c>
      <x:c r="J78" s="23" t="str">
        <x:v>thesis</x:v>
      </x:c>
      <x:c r="K78" s="50" t="str">
        <x:v>소형주 아이디어로 잘 작동, $30 진입점 언급</x:v>
      </x:c>
      <x:c r="L78" s="50" t="str">
        <x:v>I think something to highlight also is not all my ideas are green, especially on short term timeframes!
My core three themes are Neoclouds (Energy), Memory, and Photonics. 
And I'm glad I chose the literal top performers for each segment from $NBIS to $EWY leaps to $SIVE. 
However, I still have pretty large losses following the false analyst report on CPO delays that $NVDA refuted:
That nuked 3 of my TW CPO longs from Foci, Msscorp, Xintec and others. (which are heavily red). Shunsin / Win Semi are holding up much better though. 
Some of the other ones in Japan that I've mentioned like Towa, Harmonic Drive, NCI, etc. are performing much better following short-term volatility. 
As for Korea yes I have PTSD for from Auros and now Foosung that are both both red (I didn't own 093370 though, just got PTSD watching price action). 
Idk if I'll touch Korea again, just way too volatile. But I still think those will end up green eventually following Sk hynix/samsung qualifications + HVM, and the future japanese supply chain shutdown. 
I also did change some of my previous long ideas like $XLU following the Iran War nuking all chances of rate cuts from 3-4 down to 0, and that didn't play out too well. Three software names I mentioned previously like $TTD, $META ended up red. $SNAP, I also changed my thesis after noticing the endless SBC accounting methods. $RDDT idea was finally in the green from $130 -&gt; $170 after a long time. 
But I think the vast majority of my ideas like $MRVL, $NBIS, $ARM, $INTC, $MU, $LITE, SK Hynix, Samsung, for larger cap. 
Down to $AXTI, $LITE, $AAOI, $RPI, $IQE, and others for smaller cap positions directionally play out pretty well. 
With random stuff like $SIMO, $HPS.A, $TSEM, $AEHR, $LPK, $SOI, $ALRIB, and so on all ended up turning out aight too. 
The blended average is kinda overwhelmingly green since majority of my long ideas are triple digit YTD.  
But I've definitely missed a few. 
Also entry point is really important too... I mentioned $AAOI at $30 or $AXTI at ~$13, but not everyone has the same entry point. So if someone bought AOI at $220 and it dropped to $160, I'd feel bad. 
But regardless, I'd prefer to judge how ideas play out on medium term timeframes over a few months rather than a few weeks.</x:v>
      </x:c>
      <x:c r="M78" s="65" t="str">
        <x:v>https://x.com/aleabitoreddit/status/2067945397923037693</x:v>
      </x:c>
      <x:c r="N78" s="23" t="str">
        <x:v>vote 변경</x:v>
      </x:c>
    </x:row>
    <x:row r="79" ht="60" customHeight="1">
      <x:c r="A79" s="23" t="n">
        <x:v>886</x:v>
      </x:c>
      <x:c r="B79" s="23" t="str">
        <x:v>AAOI</x:v>
      </x:c>
      <x:c r="C79" s="53" t="n">
        <x:v>46193.49501157407</x:v>
      </x:c>
      <x:c r="D79" s="23" t="str">
        <x:v>aleabitoreddit</x:v>
      </x:c>
      <x:c r="E79" s="23" t="str">
        <x:v>bullish</x:v>
      </x:c>
      <x:c r="F79" s="34" t="n">
        <x:v>0.9</x:v>
      </x:c>
      <x:c r="G79" s="23" t="str">
        <x:v>needs_review</x:v>
      </x:c>
      <x:c r="H79" s="23" t="str">
        <x:v>claim</x:v>
      </x:c>
      <x:c r="I79" s="23" t="str">
        <x:v>repeat</x:v>
      </x:c>
      <x:c r="J79" s="23" t="str">
        <x:v>thesis</x:v>
      </x:c>
      <x:c r="K79" s="50" t="str">
        <x:v>AAOI 경영진은 사기꾼이 아니며 주가 30달러에서 매수 기회</x:v>
      </x:c>
      <x:c r="L79" s="50" t="str">
        <x:v>I think u must be new here. 
Many of my ideas get intense backlash at the start, especially the more original they are.
$AXTI - endless hate to the point I got banned from the $RDDT WSB forum.
They thought it was some scam Chinese company, but Reuters, Epiwafer company earnings, and institutions validated their InP substrate position many months later.
$RPI - everyone called it some meme stock. 
Literally Bloomberg, Financial Times, and others went out and called it a meme stock with no fundamentals. 
Analysts went and said the idea was stupid and said it was going to crash “as a fact”.
Earnings came out? Blew away any projection with 58% fwd revenue growth. 
But they seem to have forgot all the backlash they threw out at me, while they’re citing it as a high growth ai hardware company no. 
$SIVE? Everyone called it a “meme stock”. I get bunch of hate from Swedish media all the way up.
Bunch of people didn’t understand the technical nuances, and they keep throwing personal attacks for some strange reason.
But as you know it’s probably my most successful idea and it’s validated so far by institutional buying from Fidelity Research, JP Morgan as well as formally announced partnerships from $JBL to $GFS.
Same hate with: 
- $AAOI at $30, when everyone called management a “scam” or “shady”
- $LITE at $300 when everyone called photonics a “bubble”
- $RKLB at $20 when everyone thought it was a low revenue launch company that was a bubble. I actually got temp banned from WSB from posting about Rocketlab since moderators didn’t like the stock.
- $HOOD at $20 when everyone recalled them freezing GME buys/sells
- $IQE at $12 when people thought it was just some random crap $100m company over in the UK with “no actual photonics partnerships”
- $SOI at $44 when European bank analysts thought it was “overvalued”and my thesis wasn’t anything new
- $NBIS at $75 when everyone in the $IREN camp said I was spreading Russian propaganda and that they had no moat
- $INTC at $115 when everyone thought they couldn’t compete with $TSM 
- $MRVL at $85 when everyone thought they were losing ASIC share to Broadcom.
- $AEHR at $35 when everyone misread their earnings and thought they had no revenue 
- $EWY at $115 when everyone was crying KOSPI was a bubble and LNG/helium/oil would disrupt the memory trade
Can go on and on…
I do read a lot of the comments, which is why I remember a lot of the hate (probably either jealously, impression farming, or lacking the technical depth is my guess).
But I think at this point, people can just see each thesis validated over and over again.
And the success in markets drown out the old noise. 
Good thing is markets are the final arbiter of what’s right or wrong, not the angry comments or posts on X.</x:v>
      </x:c>
      <x:c r="M79" s="65" t="str">
        <x:v>https://x.com/aleabitoreddit/status/2068301039946887269</x:v>
      </x:c>
      <x:c r="N79" s="23" t="str">
        <x:v>제외</x:v>
      </x:c>
    </x:row>
    <x:row r="80" ht="60" customHeight="1">
      <x:c r="A80" s="23" t="n">
        <x:v>887</x:v>
      </x:c>
      <x:c r="B80" s="23" t="str">
        <x:v>LITE</x:v>
      </x:c>
      <x:c r="C80" s="53" t="n">
        <x:v>46193.49501157407</x:v>
      </x:c>
      <x:c r="D80" s="23" t="str">
        <x:v>aleabitoreddit</x:v>
      </x:c>
      <x:c r="E80" s="23" t="str">
        <x:v>bullish</x:v>
      </x:c>
      <x:c r="F80" s="34" t="n">
        <x:v>0.9</x:v>
      </x:c>
      <x:c r="G80" s="23" t="str">
        <x:v>needs_review</x:v>
      </x:c>
      <x:c r="H80" s="23" t="str">
        <x:v>claim</x:v>
      </x:c>
      <x:c r="I80" s="23" t="str">
        <x:v>repeat</x:v>
      </x:c>
      <x:c r="J80" s="23" t="str">
        <x:v>thesis</x:v>
      </x:c>
      <x:c r="K80" s="50" t="str">
        <x:v>LITE의 포토닉스는 거품이 아니며 주가 300달러에서 매수 기회</x:v>
      </x:c>
      <x:c r="L80" s="50" t="str">
        <x:v>I think u must be new here. 
Many of my ideas get intense backlash at the start, especially the more original they are.
$AXTI - endless hate to the point I got banned from the $RDDT WSB forum.
They thought it was some scam Chinese company, but Reuters, Epiwafer company earnings, and institutions validated their InP substrate position many months later.
$RPI - everyone called it some meme stock. 
Literally Bloomberg, Financial Times, and others went out and called it a meme stock with no fundamentals. 
Analysts went and said the idea was stupid and said it was going to crash “as a fact”.
Earnings came out? Blew away any projection with 58% fwd revenue growth. 
But they seem to have forgot all the backlash they threw out at me, while they’re citing it as a high growth ai hardware company no. 
$SIVE? Everyone called it a “meme stock”. I get bunch of hate from Swedish media all the way up.
Bunch of people didn’t understand the technical nuances, and they keep throwing personal attacks for some strange reason.
But as you know it’s probably my most successful idea and it’s validated so far by institutional buying from Fidelity Research, JP Morgan as well as formally announced partnerships from $JBL to $GFS.
Same hate with: 
- $AAOI at $30, when everyone called management a “scam” or “shady”
- $LITE at $300 when everyone called photonics a “bubble”
- $RKLB at $20 when everyone thought it was a low revenue launch company that was a bubble. I actually got temp banned from WSB from posting about Rocketlab since moderators didn’t like the stock.
- $HOOD at $20 when everyone recalled them freezing GME buys/sells
- $IQE at $12 when people thought it was just some random crap $100m company over in the UK with “no actual photonics partnerships”
- $SOI at $44 when European bank analysts thought it was “overvalued”and my thesis wasn’t anything new
- $NBIS at $75 when everyone in the $IREN camp said I was spreading Russian propaganda and that they had no moat
- $INTC at $115 when everyone thought they couldn’t compete with $TSM 
- $MRVL at $85 when everyone thought they were losing ASIC share to Broadcom.
- $AEHR at $35 when everyone misread their earnings and thought they had no revenue 
- $EWY at $115 when everyone was crying KOSPI was a bubble and LNG/helium/oil would disrupt the memory trade
Can go on and on…
I do read a lot of the comments, which is why I remember a lot of the hate (probably either jealously, impression farming, or lacking the technical depth is my guess).
But I think at this point, people can just see each thesis validated over and over again.
And the success in markets drown out the old noise. 
Good thing is markets are the final arbiter of what’s right or wrong, not the angry comments or posts on X.</x:v>
      </x:c>
      <x:c r="M80" s="65" t="str">
        <x:v>https://x.com/aleabitoreddit/status/2068301039946887269</x:v>
      </x:c>
      <x:c r="N80" s="23" t="str">
        <x:v>제외</x:v>
      </x:c>
    </x:row>
    <x:row r="81" ht="60" customHeight="1">
      <x:c r="A81" s="23" t="n">
        <x:v>689</x:v>
      </x:c>
      <x:c r="B81" s="23" t="str">
        <x:v>LITE</x:v>
      </x:c>
      <x:c r="C81" s="53" t="n">
        <x:v>46194.35337962963</x:v>
      </x:c>
      <x:c r="D81" s="23" t="str">
        <x:v>aleabitoreddit</x:v>
      </x:c>
      <x:c r="E81" s="23" t="str">
        <x:v>bullish</x:v>
      </x:c>
      <x:c r="F81" s="34" t="n">
        <x:v>0.7</x:v>
      </x:c>
      <x:c r="G81" s="23" t="str">
        <x:v>needs_review</x:v>
      </x:c>
      <x:c r="H81" s="23" t="str">
        <x:v>stance</x:v>
      </x:c>
      <x:c r="I81" s="23" t="str">
        <x:v>first_mention</x:v>
      </x:c>
      <x:c r="J81" s="23" t="str">
        <x:v>thesis</x:v>
      </x:c>
      <x:c r="K81" s="50" t="str">
        <x:v>LITE는 EML 레이저 시장에서 미국/일본과 함께 지배적 위치에 있으며, 100G EML IP/프로세스가 가치 있음.</x:v>
      </x:c>
      <x:c r="L81" s="50" t="str">
        <x:v>Korea is far behind with lasers. Maybe like 1 1/2 years if I had to guess. 
Which is why OE Solutions is the very first/only to produce 100G EML in Korea AFAIK. 
US ($LITE, $COHR) / Japan (Sumitomo, etc). dominates EML lasers. China has now kinda caught up. 
US/Sweden/Japan dominates CW DFB IP. 
But people are rightly saying a few in the world can do this, and the 100G EML IP/process is valuable.</x:v>
      </x:c>
      <x:c r="M81" s="65" t="str">
        <x:v>https://x.com/aleabitoreddit/status/2068612102928154844</x:v>
      </x:c>
      <x:c r="N81" s="23" t="str">
        <x:v>제외</x:v>
      </x:c>
    </x:row>
    <x:row r="82" ht="60" customHeight="1">
      <x:c r="A82" s="23" t="n">
        <x:v>690</x:v>
      </x:c>
      <x:c r="B82" s="23" t="str">
        <x:v>COHR</x:v>
      </x:c>
      <x:c r="C82" s="53" t="n">
        <x:v>46194.35337962963</x:v>
      </x:c>
      <x:c r="D82" s="23" t="str">
        <x:v>aleabitoreddit</x:v>
      </x:c>
      <x:c r="E82" s="23" t="str">
        <x:v>bullish</x:v>
      </x:c>
      <x:c r="F82" s="34" t="n">
        <x:v>0.7</x:v>
      </x:c>
      <x:c r="G82" s="23" t="str">
        <x:v>needs_review</x:v>
      </x:c>
      <x:c r="H82" s="23" t="str">
        <x:v>stance</x:v>
      </x:c>
      <x:c r="I82" s="23" t="str">
        <x:v>first_mention</x:v>
      </x:c>
      <x:c r="J82" s="23" t="str">
        <x:v>thesis</x:v>
      </x:c>
      <x:c r="K82" s="50" t="str">
        <x:v>COHR은 EML 레이저 시장에서 미국/일본과 함께 지배적 위치에 있으며, 100G EML IP/프로세스가 가치 있음.</x:v>
      </x:c>
      <x:c r="L82" s="50" t="str">
        <x:v>Korea is far behind with lasers. Maybe like 1 1/2 years if I had to guess. 
Which is why OE Solutions is the very first/only to produce 100G EML in Korea AFAIK. 
US ($LITE, $COHR) / Japan (Sumitomo, etc). dominates EML lasers. China has now kinda caught up. 
US/Sweden/Japan dominates CW DFB IP. 
But people are rightly saying a few in the world can do this, and the 100G EML IP/process is valuable.</x:v>
      </x:c>
      <x:c r="M82" s="65" t="str">
        <x:v>https://x.com/aleabitoreddit/status/2068612102928154844</x:v>
      </x:c>
      <x:c r="N82" s="23" t="str">
        <x:v>제외</x:v>
      </x:c>
    </x:row>
    <x:row r="83" ht="60" customHeight="1">
      <x:c r="A83" s="23" t="n">
        <x:v>691</x:v>
      </x:c>
      <x:c r="B83" s="23" t="str">
        <x:v>COHR</x:v>
      </x:c>
      <x:c r="C83" s="53" t="n">
        <x:v>46194.36450231481</x:v>
      </x:c>
      <x:c r="D83" s="23" t="str">
        <x:v>aleabitoreddit</x:v>
      </x:c>
      <x:c r="E83" s="23" t="str">
        <x:v>bullish</x:v>
      </x:c>
      <x:c r="F83" s="34" t="n">
        <x:v>0.8</x:v>
      </x:c>
      <x:c r="G83" s="23" t="str">
        <x:v>auto</x:v>
      </x:c>
      <x:c r="H83" s="23"/>
      <x:c r="I83" s="23" t="str">
        <x:v>first_mention</x:v>
      </x:c>
      <x:c r="J83" s="23" t="str">
        <x:v>catalyst</x:v>
      </x:c>
      <x:c r="K83" s="50" t="str">
        <x:v>EML 병목 현상으로 COHR이 LITE로부터 EML을 구매하고 있으며, 이는 COHR의 수요가 공급을 초과함을 의미</x:v>
      </x:c>
      <x:c r="L83" s="50" t="str">
        <x:v>We're in a massive EML bottleneck right now and CW lasers are getting bottlenecked now too. 
To my knowledge, $COHR is buying EMLs off $LITE because they can't make enough. 
$LITE is majority allocated to EML, so they can't make enough CW lasers. 
So they're buying CW lasers off competitors from their ER transcript, (probably Sumitomo, Furukawa and others), which likely feeds into $NVDA contracts. 
Then $AMD and your hyperscalers need capacity too but we're already in a shortage. 
Any capacity that comes online would likely be bought, since looks like we're in a shortage for next few years (lumentum already sold out into 2028).  
Not quite the same as your sk hynix/samsung/micron memory dynamic but there's still a massive moat with EML with probably only single digit amounts of players able to do this.</x:v>
      </x:c>
      <x:c r="M83" s="65" t="str">
        <x:v>https://x.com/aleabitoreddit/status/2068616131129270289</x:v>
      </x:c>
      <x:c r="N83" s="23" t="str">
        <x:v>vote 변경</x:v>
      </x:c>
    </x:row>
    <x:row r="84" ht="60" customHeight="1">
      <x:c r="A84" s="23" t="n">
        <x:v>692</x:v>
      </x:c>
      <x:c r="B84" s="23" t="str">
        <x:v>LITE</x:v>
      </x:c>
      <x:c r="C84" s="53" t="n">
        <x:v>46194.36450231481</x:v>
      </x:c>
      <x:c r="D84" s="23" t="str">
        <x:v>aleabitoreddit</x:v>
      </x:c>
      <x:c r="E84" s="23" t="str">
        <x:v>bullish</x:v>
      </x:c>
      <x:c r="F84" s="34" t="n">
        <x:v>0.8</x:v>
      </x:c>
      <x:c r="G84" s="23" t="str">
        <x:v>auto</x:v>
      </x:c>
      <x:c r="H84" s="23"/>
      <x:c r="I84" s="23" t="str">
        <x:v>first_mention</x:v>
      </x:c>
      <x:c r="J84" s="23" t="str">
        <x:v>catalyst</x:v>
      </x:c>
      <x:c r="K84" s="50" t="str">
        <x:v>LITE는 EML에 대부분 할당되어 있어 CW 레이저를 충분히 생산하지 못하며, 이는 LITE의 EML 수요가 매우 높음을 의미</x:v>
      </x:c>
      <x:c r="L84" s="50" t="str">
        <x:v>We're in a massive EML bottleneck right now and CW lasers are getting bottlenecked now too. 
To my knowledge, $COHR is buying EMLs off $LITE because they can't make enough. 
$LITE is majority allocated to EML, so they can't make enough CW lasers. 
So they're buying CW lasers off competitors from their ER transcript, (probably Sumitomo, Furukawa and others), which likely feeds into $NVDA contracts. 
Then $AMD and your hyperscalers need capacity too but we're already in a shortage. 
Any capacity that comes online would likely be bought, since looks like we're in a shortage for next few years (lumentum already sold out into 2028).  
Not quite the same as your sk hynix/samsung/micron memory dynamic but there's still a massive moat with EML with probably only single digit amounts of players able to do this.</x:v>
      </x:c>
      <x:c r="M84" s="65" t="str">
        <x:v>https://x.com/aleabitoreddit/status/2068616131129270289</x:v>
      </x:c>
      <x:c r="N84" s="23" t="str">
        <x:v>vote 변경</x:v>
      </x:c>
    </x:row>
    <x:row r="85" ht="60" customHeight="1">
      <x:c r="A85" s="23" t="n">
        <x:v>669</x:v>
      </x:c>
      <x:c r="B85" s="23" t="str">
        <x:v>LITE</x:v>
      </x:c>
      <x:c r="C85" s="53" t="n">
        <x:v>46194.47971064815</x:v>
      </x:c>
      <x:c r="D85" s="23" t="str">
        <x:v>aleabitoreddit</x:v>
      </x:c>
      <x:c r="E85" s="23" t="str">
        <x:v>bullish</x:v>
      </x:c>
      <x:c r="F85" s="34" t="n">
        <x:v>0.9</x:v>
      </x:c>
      <x:c r="G85" s="23" t="str">
        <x:v>auto</x:v>
      </x:c>
      <x:c r="H85" s="23"/>
      <x:c r="I85" s="23" t="str">
        <x:v>first_mention</x:v>
      </x:c>
      <x:c r="J85" s="23" t="str">
        <x:v>growth</x:v>
      </x:c>
      <x:c r="K85" s="50" t="str">
        <x:v>LITE의 시가총액이 2년 만에 28.8억 달러에서 670억 달러로 급증한 것은 강력한 성장을 나타냄.</x:v>
      </x:c>
      <x:c r="L85" s="50" t="str">
        <x:v>@jeongpark0509 No price target, but I like to keep in mind:
$LITE went from 2.88B MC in 2024, to $67B MC in 2026.
Just took 2 years and $SIVE is around the same starting point as Lumentum today.</x:v>
      </x:c>
      <x:c r="M85" s="65" t="str">
        <x:v>https://x.com/aleabitoreddit/status/2068657882036687294</x:v>
      </x:c>
      <x:c r="N85" s="23" t="str">
        <x:v>vote 변경</x:v>
      </x:c>
    </x:row>
    <x:row r="86" ht="60" customHeight="1">
      <x:c r="A86" s="23" t="n">
        <x:v>675</x:v>
      </x:c>
      <x:c r="B86" s="23" t="str">
        <x:v>NVDA</x:v>
      </x:c>
      <x:c r="C86" s="53" t="n">
        <x:v>46195.06613425926</x:v>
      </x:c>
      <x:c r="D86" s="23" t="str">
        <x:v>aleabitoreddit</x:v>
      </x:c>
      <x:c r="E86" s="23" t="str">
        <x:v>neutral</x:v>
      </x:c>
      <x:c r="F86" s="34" t="n">
        <x:v>0.7</x:v>
      </x:c>
      <x:c r="G86" s="23" t="str">
        <x:v>needs_review</x:v>
      </x:c>
      <x:c r="H86" s="23" t="str">
        <x:v>stance</x:v>
      </x:c>
      <x:c r="I86" s="23" t="str">
        <x:v>repeat</x:v>
      </x:c>
      <x:c r="J86" s="23" t="str">
        <x:v>thesis</x:v>
      </x:c>
      <x:c r="K86" s="50" t="str">
        <x:v>FOCI가 FAU 및 수동 부품과 함께 NVDA 생태계의 병목 현상의 일부가 될 것이라는 테제는 변하지 않음.</x:v>
      </x:c>
      <x:c r="L86" s="50" t="str">
        <x:v>@Joey_TheFarmer My thesis hasn't changed with FOCI, they'll be part of the bottleneck with FAU + passive components in $NVDA $TSM ecosystem as that COUPE scales up.</x:v>
      </x:c>
      <x:c r="M86" s="65" t="str">
        <x:v>https://x.com/aleabitoreddit/status/2068870393918808533</x:v>
      </x:c>
      <x:c r="N86" s="23" t="str">
        <x:v>제외</x:v>
      </x:c>
    </x:row>
    <x:row r="87" ht="60" customHeight="1">
      <x:c r="A87" s="23" t="n">
        <x:v>678</x:v>
      </x:c>
      <x:c r="B87" s="23" t="str">
        <x:v>AAOI</x:v>
      </x:c>
      <x:c r="C87" s="53" t="n">
        <x:v>46195.596921296295</x:v>
      </x:c>
      <x:c r="D87" s="23" t="str">
        <x:v>aleabitoreddit</x:v>
      </x:c>
      <x:c r="E87" s="23" t="str">
        <x:v>bullish</x:v>
      </x:c>
      <x:c r="F87" s="34" t="n">
        <x:v>0.8</x:v>
      </x:c>
      <x:c r="G87" s="23" t="str">
        <x:v>auto</x:v>
      </x:c>
      <x:c r="H87" s="23"/>
      <x:c r="I87" s="23" t="str">
        <x:v>first_mention</x:v>
      </x:c>
      <x:c r="J87" s="23" t="str">
        <x:v>growth</x:v>
      </x:c>
      <x:c r="K87" s="50" t="str">
        <x:v>AAOI가 예상치를 달성하면 800% 이상의 전년 대비 성장률과 56억 달러의 연간 매출을 기록할 것</x:v>
      </x:c>
      <x:c r="L87" s="50" t="str">
        <x:v>That’s for you to decide.
But just throwing this out there:
If $AAOI hits projections, that’s over 800%+ Y/Y growth, and $5.6B revenue annualized off $12.8B MC.
My guess is that the $471m/month will keep going up as demand seems to scale exponentially into 2028.
I’d expect ASP/margins to go up across the board as well. Especially as the industry is bottlenecked and $AMD + CSPs are going around hunting for LTAs.</x:v>
      </x:c>
      <x:c r="M87" s="65" t="str">
        <x:v>https://x.com/aleabitoreddit/status/2069062745308254434</x:v>
      </x:c>
      <x:c r="N87" s="23" t="str">
        <x:v>vote 변경</x:v>
      </x:c>
    </x:row>
    <x:row r="88" ht="60" customHeight="1">
      <x:c r="A88" s="23" t="n">
        <x:v>707</x:v>
      </x:c>
      <x:c r="B88" s="23" t="str">
        <x:v>LITE</x:v>
      </x:c>
      <x:c r="C88" s="53" t="n">
        <x:v>46196.13662037037</x:v>
      </x:c>
      <x:c r="D88" s="23" t="str">
        <x:v>aleabitoreddit</x:v>
      </x:c>
      <x:c r="E88" s="23" t="str">
        <x:v>bullish</x:v>
      </x:c>
      <x:c r="F88" s="34" t="n">
        <x:v>0.9</x:v>
      </x:c>
      <x:c r="G88" s="23" t="str">
        <x:v>auto</x:v>
      </x:c>
      <x:c r="H88" s="23"/>
      <x:c r="I88" s="23" t="str">
        <x:v>repeat</x:v>
      </x:c>
      <x:c r="J88" s="23" t="str">
        <x:v>thesis</x:v>
      </x:c>
      <x:c r="K88" s="50" t="str">
        <x:v>LITE는 2024년부터 3B에서 65B+로 성장했으며, 이는 광자 테마와 CW 레이저 병목 현상의 중요성을 입증한다.</x:v>
      </x:c>
      <x:c r="L88" s="50" t="str">
        <x:v>IMO photonics theme + CW laser chokepoint is goated. 
It's legit like markets have short term memory loss and forgot how $LITE went from $3B -&gt; $65B+ from 2024 to now.
Because $NVDA caused EML bottlenecks, and forced architectural changes. 
We're literally seeing the same thing today with CW lasers + 1.6T/CPO shifts with Nvidia signing LTAs everywhere.
Now, $AMD + other CSPs are hunting for remaining scraps with large LTAs for CW lasers + optical components. 
GS Research's ~9-10x $154B optical TAM in 2028 and near $0 -&gt; $91B CPO TAM in just 2 1/2 years.
Don't just magically disappear from a month of trading volatility. 
$AAOI sitting at ~$13B, $SIVE sitting at ~$3B, and other CW laser players look strategically very valuable. 
And next year I think we'll look back and say "Why didn't I learn my lesson the first time with EML from Nvidia and pick up CW laser adjacent names!" 
Then there's likely gonna be some new mini trend 1-2 years from now like microled or quantum dot and we're gonna see the same thing repeat. 
Think Sumitomo's projections with CW laser share + silicon photonics being majority / dominant architecture should be correct. 
I'm personally just focusing on that bottleneck as you've seen with $SOI, $TSEM, $SIVE, and others.</x:v>
      </x:c>
      <x:c r="M88" s="65" t="str">
        <x:v>https://x.com/aleabitoreddit/status/2069258326505140653</x:v>
      </x:c>
      <x:c r="N88" s="23" t="str">
        <x:v>vote 변경</x:v>
      </x:c>
    </x:row>
    <x:row r="89" ht="60" customHeight="1">
      <x:c r="A89" s="23" t="n">
        <x:v>708</x:v>
      </x:c>
      <x:c r="B89" s="23" t="str">
        <x:v>NVDA</x:v>
      </x:c>
      <x:c r="C89" s="53" t="n">
        <x:v>46196.13662037037</x:v>
      </x:c>
      <x:c r="D89" s="23" t="str">
        <x:v>aleabitoreddit</x:v>
      </x:c>
      <x:c r="E89" s="23" t="str">
        <x:v>bullish</x:v>
      </x:c>
      <x:c r="F89" s="34" t="n">
        <x:v>0.7</x:v>
      </x:c>
      <x:c r="G89" s="23" t="str">
        <x:v>needs_review</x:v>
      </x:c>
      <x:c r="H89" s="23" t="str">
        <x:v>stance</x:v>
      </x:c>
      <x:c r="I89" s="23" t="str">
        <x:v>new_claim</x:v>
      </x:c>
      <x:c r="J89" s="23" t="str">
        <x:v>catalyst</x:v>
      </x:c>
      <x:c r="K89" s="50" t="str">
        <x:v>NVDA는 EML 병목 현상을 유발하여 아키텍처 변화를 강제했으며, 현재 CW 레이저 및 1.6T/CPO 전환을 위해 LTA를 체결하고 있다.</x:v>
      </x:c>
      <x:c r="L89" s="50" t="str">
        <x:v>IMO photonics theme + CW laser chokepoint is goated. 
It's legit like markets have short term memory loss and forgot how $LITE went from $3B -&gt; $65B+ from 2024 to now.
Because $NVDA caused EML bottlenecks, and forced architectural changes. 
We're literally seeing the same thing today with CW lasers + 1.6T/CPO shifts with Nvidia signing LTAs everywhere.
Now, $AMD + other CSPs are hunting for remaining scraps with large LTAs for CW lasers + optical components. 
GS Research's ~9-10x $154B optical TAM in 2028 and near $0 -&gt; $91B CPO TAM in just 2 1/2 years.
Don't just magically disappear from a month of trading volatility. 
$AAOI sitting at ~$13B, $SIVE sitting at ~$3B, and other CW laser players look strategically very valuable. 
And next year I think we'll look back and say "Why didn't I learn my lesson the first time with EML from Nvidia and pick up CW laser adjacent names!" 
Then there's likely gonna be some new mini trend 1-2 years from now like microled or quantum dot and we're gonna see the same thing repeat. 
Think Sumitomo's projections with CW laser share + silicon photonics being majority / dominant architecture should be correct. 
I'm personally just focusing on that bottleneck as you've seen with $SOI, $TSEM, $SIVE, and others.</x:v>
      </x:c>
      <x:c r="M89" s="65" t="str">
        <x:v>https://x.com/aleabitoreddit/status/2069258326505140653</x:v>
      </x:c>
      <x:c r="N89" s="23" t="str">
        <x:v>제외</x:v>
      </x:c>
    </x:row>
    <x:row r="90" ht="60" customHeight="1">
      <x:c r="A90" s="23" t="n">
        <x:v>705</x:v>
      </x:c>
      <x:c r="B90" s="23" t="str">
        <x:v>LITE</x:v>
      </x:c>
      <x:c r="C90" s="53" t="n">
        <x:v>46196.14292824074</x:v>
      </x:c>
      <x:c r="D90" s="23" t="str">
        <x:v>aleabitoreddit</x:v>
      </x:c>
      <x:c r="E90" s="23" t="str">
        <x:v>neutral</x:v>
      </x:c>
      <x:c r="F90" s="34" t="n">
        <x:v>0.6</x:v>
      </x:c>
      <x:c r="G90" s="23" t="str">
        <x:v>needs_review</x:v>
      </x:c>
      <x:c r="H90" s="23" t="str">
        <x:v>stance</x:v>
      </x:c>
      <x:c r="I90" s="23" t="str">
        <x:v>unclear</x:v>
      </x:c>
      <x:c r="J90" s="23" t="str">
        <x:v>other</x:v>
      </x:c>
      <x:c r="K90" s="50" t="str">
        <x:v>ETF의 주요 구성 종목이지만 AI 데이터센터와 관련이 없음</x:v>
      </x:c>
      <x:c r="L90" s="50" t="str">
        <x:v>@SaiseiInvesting No, 0 clue why people invest in those types of ETFs.
- You have the most basic names you can buy yourself like $LITE / $COHR  as heaviest weights, where they take management fees. 
- Names not adjacent to AI DCs.</x:v>
      </x:c>
      <x:c r="M90" s="65" t="str">
        <x:v>https://x.com/aleabitoreddit/status/2069260610626531533</x:v>
      </x:c>
      <x:c r="N90" s="23" t="str">
        <x:v>제외</x:v>
      </x:c>
    </x:row>
    <x:row r="91" ht="60" customHeight="1">
      <x:c r="A91" s="23" t="n">
        <x:v>706</x:v>
      </x:c>
      <x:c r="B91" s="23" t="str">
        <x:v>COHR</x:v>
      </x:c>
      <x:c r="C91" s="53" t="n">
        <x:v>46196.14292824074</x:v>
      </x:c>
      <x:c r="D91" s="23" t="str">
        <x:v>aleabitoreddit</x:v>
      </x:c>
      <x:c r="E91" s="23" t="str">
        <x:v>neutral</x:v>
      </x:c>
      <x:c r="F91" s="34" t="n">
        <x:v>0.6</x:v>
      </x:c>
      <x:c r="G91" s="23" t="str">
        <x:v>needs_review</x:v>
      </x:c>
      <x:c r="H91" s="23" t="str">
        <x:v>stance</x:v>
      </x:c>
      <x:c r="I91" s="23" t="str">
        <x:v>unclear</x:v>
      </x:c>
      <x:c r="J91" s="23" t="str">
        <x:v>other</x:v>
      </x:c>
      <x:c r="K91" s="50" t="str">
        <x:v>ETF의 주요 구성 종목이지만 AI 데이터센터와 관련이 없음</x:v>
      </x:c>
      <x:c r="L91" s="50" t="str">
        <x:v>@SaiseiInvesting No, 0 clue why people invest in those types of ETFs.
- You have the most basic names you can buy yourself like $LITE / $COHR  as heaviest weights, where they take management fees. 
- Names not adjacent to AI DCs.</x:v>
      </x:c>
      <x:c r="M91" s="65" t="str">
        <x:v>https://x.com/aleabitoreddit/status/2069260610626531533</x:v>
      </x:c>
      <x:c r="N91" s="23" t="str">
        <x:v>제외</x:v>
      </x:c>
    </x:row>
    <x:row r="92" ht="60" customHeight="1">
      <x:c r="A92" s="23" t="n">
        <x:v>720</x:v>
      </x:c>
      <x:c r="B92" s="23" t="str">
        <x:v>NVDA</x:v>
      </x:c>
      <x:c r="C92" s="53" t="n">
        <x:v>46196.52657407407</x:v>
      </x:c>
      <x:c r="D92" s="23" t="str">
        <x:v>aleabitoreddit</x:v>
      </x:c>
      <x:c r="E92" s="23" t="str">
        <x:v>bullish</x:v>
      </x:c>
      <x:c r="F92" s="34" t="n">
        <x:v>0.8</x:v>
      </x:c>
      <x:c r="G92" s="23" t="str">
        <x:v>auto</x:v>
      </x:c>
      <x:c r="H92" s="23"/>
      <x:c r="I92" s="23" t="str">
        <x:v>first_mention</x:v>
      </x:c>
      <x:c r="J92" s="23" t="str">
        <x:v>valuation</x:v>
      </x:c>
      <x:c r="K92" s="50" t="str">
        <x:v>NVDA 상류 공급망을 거품이라고 보는 것은 잘못된 시각이다.</x:v>
      </x:c>
      <x:c r="L92" s="50" t="str">
        <x:v>Nothing is more stupid than Bloomberg copying BofA playbook with KOSPI back in March.
And framing Taiwan’s $TSM ~23.6x forward p/e and $NVDA upstream supply chain as a “bubble”.
Then using the words going into “debt” instead of “margin” + comparing Taiwan’s market to the .com bubble. 
Crap like this is why retail trust in media has dropped off a cliff in the past few years.</x:v>
      </x:c>
      <x:c r="M92" s="65" t="str">
        <x:v>https://x.com/aleabitoreddit/status/2069399639154213281</x:v>
      </x:c>
      <x:c r="N92" s="23" t="str">
        <x:v>vote 변경</x:v>
      </x:c>
    </x:row>
    <x:row r="93" ht="60" customHeight="1">
      <x:c r="A93" s="23" t="n">
        <x:v>722</x:v>
      </x:c>
      <x:c r="B93" s="23" t="str">
        <x:v>AAOI</x:v>
      </x:c>
      <x:c r="C93" s="53" t="n">
        <x:v>46196.64127314815</x:v>
      </x:c>
      <x:c r="D93" s="23" t="str">
        <x:v>aleabitoreddit</x:v>
      </x:c>
      <x:c r="E93" s="23" t="str">
        <x:v>bullish</x:v>
      </x:c>
      <x:c r="F93" s="34" t="n">
        <x:v>0.8</x:v>
      </x:c>
      <x:c r="G93" s="23" t="str">
        <x:v>auto</x:v>
      </x:c>
      <x:c r="H93" s="23"/>
      <x:c r="I93" s="23" t="str">
        <x:v>first_mention</x:v>
      </x:c>
      <x:c r="J93" s="23" t="str">
        <x:v>positioning</x:v>
      </x:c>
      <x:c r="K93" s="50" t="str">
        <x:v>작성자가 AAOI에 추가 매수했다고 밝힘.</x:v>
      </x:c>
      <x:c r="L93" s="50" t="str">
        <x:v>@SMike1271547 I actually just added on $AAOI. 
Was talking about in general since everything dropped across the board, not specific names MB.</x:v>
      </x:c>
      <x:c r="M93" s="65" t="str">
        <x:v>https://x.com/aleabitoreddit/status/2069441207865065735</x:v>
      </x:c>
      <x:c r="N93" s="23" t="str">
        <x:v>vote 변경</x:v>
      </x:c>
    </x:row>
    <x:row r="94" ht="60" customHeight="1">
      <x:c r="A94" s="23" t="n">
        <x:v>728</x:v>
      </x:c>
      <x:c r="B94" s="23" t="str">
        <x:v>AAOI</x:v>
      </x:c>
      <x:c r="C94" s="53" t="n">
        <x:v>46196.654270833336</x:v>
      </x:c>
      <x:c r="D94" s="23" t="str">
        <x:v>aleabitoreddit</x:v>
      </x:c>
      <x:c r="E94" s="23" t="str">
        <x:v>bearish</x:v>
      </x:c>
      <x:c r="F94" s="34" t="n">
        <x:v>0.8</x:v>
      </x:c>
      <x:c r="G94" s="23" t="str">
        <x:v>auto</x:v>
      </x:c>
      <x:c r="H94" s="23"/>
      <x:c r="I94" s="23" t="str">
        <x:v>first_mention</x:v>
      </x:c>
      <x:c r="J94" s="23" t="str">
        <x:v>positioning</x:v>
      </x:c>
      <x:c r="K94" s="50" t="str">
        <x:v>AAOI가 11.2% 하락하며 광통신 반도체 약세.</x:v>
      </x:c>
      <x:c r="L94" s="50" t="str">
        <x:v>Curious if anyone's portfolio is green after today's fun day.  
$KORU: -32.06%
$SOXL: -22.98%
$IQE: -13.58%
$DRAM: -12.6%
$AXTI: -12.57%
$FLNC: -12.5%
$AAOI: -11.2%
$SIVE: -11.7%
$TSEM: -10.24%
$SNDK: -12.5%
$MU: -11.8%
Sk Hynix: -12.35%
Samsung: -9.6%
$MRVL: -8.3%
$LITE: -7.6%
$SOI -7.15%
$TSM: -6.1%
$AMD: -6.04%
Feels like anything high-beta or semis had a steep drop.</x:v>
      </x:c>
      <x:c r="M94" s="65" t="str">
        <x:v>https://x.com/aleabitoreddit/status/2069445918114697463</x:v>
      </x:c>
      <x:c r="N94" s="23" t="str">
        <x:v>vote 변경</x:v>
      </x:c>
    </x:row>
    <x:row r="95" ht="60" customHeight="1">
      <x:c r="A95" s="23" t="n">
        <x:v>732</x:v>
      </x:c>
      <x:c r="B95" s="23" t="str">
        <x:v>LITE</x:v>
      </x:c>
      <x:c r="C95" s="53" t="n">
        <x:v>46196.654270833336</x:v>
      </x:c>
      <x:c r="D95" s="23" t="str">
        <x:v>aleabitoreddit</x:v>
      </x:c>
      <x:c r="E95" s="23" t="str">
        <x:v>bearish</x:v>
      </x:c>
      <x:c r="F95" s="34" t="n">
        <x:v>0.8</x:v>
      </x:c>
      <x:c r="G95" s="23" t="str">
        <x:v>auto</x:v>
      </x:c>
      <x:c r="H95" s="23"/>
      <x:c r="I95" s="23" t="str">
        <x:v>first_mention</x:v>
      </x:c>
      <x:c r="J95" s="23" t="str">
        <x:v>positioning</x:v>
      </x:c>
      <x:c r="K95" s="50" t="str">
        <x:v>LITE가 7.6% 하락하며 광통신 반도체 약세.</x:v>
      </x:c>
      <x:c r="L95" s="50" t="str">
        <x:v>Curious if anyone's portfolio is green after today's fun day.  
$KORU: -32.06%
$SOXL: -22.98%
$IQE: -13.58%
$DRAM: -12.6%
$AXTI: -12.57%
$FLNC: -12.5%
$AAOI: -11.2%
$SIVE: -11.7%
$TSEM: -10.24%
$SNDK: -12.5%
$MU: -11.8%
Sk Hynix: -12.35%
Samsung: -9.6%
$MRVL: -8.3%
$LITE: -7.6%
$SOI -7.15%
$TSM: -6.1%
$AMD: -6.04%
Feels like anything high-beta or semis had a steep drop.</x:v>
      </x:c>
      <x:c r="M95" s="65" t="str">
        <x:v>https://x.com/aleabitoreddit/status/2069445918114697463</x:v>
      </x:c>
      <x:c r="N95" s="23" t="str">
        <x:v>vote 변경</x:v>
      </x:c>
    </x:row>
    <x:row r="96" ht="60" customHeight="1">
      <x:c r="A96" s="23" t="n">
        <x:v>750</x:v>
      </x:c>
      <x:c r="B96" s="23" t="str">
        <x:v>LITE</x:v>
      </x:c>
      <x:c r="C96" s="53" t="n">
        <x:v>46197.907997685186</x:v>
      </x:c>
      <x:c r="D96" s="23" t="str">
        <x:v>aleabitoreddit</x:v>
      </x:c>
      <x:c r="E96" s="23" t="str">
        <x:v>bullish</x:v>
      </x:c>
      <x:c r="F96" s="34" t="n">
        <x:v>0.6</x:v>
      </x:c>
      <x:c r="G96" s="23" t="str">
        <x:v>needs_review</x:v>
      </x:c>
      <x:c r="H96" s="23" t="str">
        <x:v>stance</x:v>
      </x:c>
      <x:c r="I96" s="23" t="str">
        <x:v>first_mention</x:v>
      </x:c>
      <x:c r="J96" s="23" t="str">
        <x:v>catalyst</x:v>
      </x:c>
      <x:c r="K96" s="50" t="str">
        <x:v>MU 실적 호조로 AI 수요 기대감에 LITE 주가 소폭 상승</x:v>
      </x:c>
      <x:c r="L96" s="50" t="str">
        <x:v>@Zenctwill $MU earnings are probably a good read through on SK Hynix/Samsung, which is majority of KOSPI weighting (passively too). So seems more likely than not for SK index.
It’s also a positive read through on AI demand, which is why $LITE, $AAOI, and others jumped a tiny bit AH.</x:v>
      </x:c>
      <x:c r="M96" s="65" t="str">
        <x:v>https://x.com/aleabitoreddit/status/2069900250064818480</x:v>
      </x:c>
      <x:c r="N96" s="23" t="str">
        <x:v>제외</x:v>
      </x:c>
    </x:row>
    <x:row r="97" ht="60" customHeight="1">
      <x:c r="A97" s="23" t="n">
        <x:v>751</x:v>
      </x:c>
      <x:c r="B97" s="23" t="str">
        <x:v>AAOI</x:v>
      </x:c>
      <x:c r="C97" s="53" t="n">
        <x:v>46197.907997685186</x:v>
      </x:c>
      <x:c r="D97" s="23" t="str">
        <x:v>aleabitoreddit</x:v>
      </x:c>
      <x:c r="E97" s="23" t="str">
        <x:v>bullish</x:v>
      </x:c>
      <x:c r="F97" s="34" t="n">
        <x:v>0.6</x:v>
      </x:c>
      <x:c r="G97" s="23" t="str">
        <x:v>needs_review</x:v>
      </x:c>
      <x:c r="H97" s="23" t="str">
        <x:v>stance</x:v>
      </x:c>
      <x:c r="I97" s="23" t="str">
        <x:v>first_mention</x:v>
      </x:c>
      <x:c r="J97" s="23" t="str">
        <x:v>catalyst</x:v>
      </x:c>
      <x:c r="K97" s="50" t="str">
        <x:v>MU 실적 호조로 AI 수요 기대감에 AAOI 주가 소폭 상승</x:v>
      </x:c>
      <x:c r="L97" s="50" t="str">
        <x:v>@Zenctwill $MU earnings are probably a good read through on SK Hynix/Samsung, which is majority of KOSPI weighting (passively too). So seems more likely than not for SK index.
It’s also a positive read through on AI demand, which is why $LITE, $AAOI, and others jumped a tiny bit AH.</x:v>
      </x:c>
      <x:c r="M97" s="65" t="str">
        <x:v>https://x.com/aleabitoreddit/status/2069900250064818480</x:v>
      </x:c>
      <x:c r="N97" s="23" t="str">
        <x:v>제외</x:v>
      </x:c>
    </x:row>
    <x:row r="98" ht="60" customHeight="1">
      <x:c r="A98" s="23" t="n">
        <x:v>761</x:v>
      </x:c>
      <x:c r="B98" s="23" t="str">
        <x:v>AAOI</x:v>
      </x:c>
      <x:c r="C98" s="53" t="n">
        <x:v>46198.094247685185</x:v>
      </x:c>
      <x:c r="D98" s="23" t="str">
        <x:v>aleabitoreddit</x:v>
      </x:c>
      <x:c r="E98" s="23" t="str">
        <x:v>bullish</x:v>
      </x:c>
      <x:c r="F98" s="34" t="n">
        <x:v>0.7</x:v>
      </x:c>
      <x:c r="G98" s="23" t="str">
        <x:v>needs_review</x:v>
      </x:c>
      <x:c r="H98" s="23" t="str">
        <x:v>stance</x:v>
      </x:c>
      <x:c r="I98" s="23" t="str">
        <x:v>new_claim</x:v>
      </x:c>
      <x:c r="J98" s="23" t="str">
        <x:v>thesis</x:v>
      </x:c>
      <x:c r="K98" s="50" t="str">
        <x:v>광통신 테마에 의해 하락했지만, 슈퍼사이클 초기 단계에 있으며 2027-2028년 변곡점이 있을 것</x:v>
      </x:c>
      <x:c r="L98" s="50" t="str">
        <x:v>Think so. But in the meantime, I call my strategy: Diversified Losses.
With $AXTI, $SOI, $AAOI, and many others.
Had a massive drawdown recently, 
CPO exposure was hit the hardest (Foci, Msscorp, etc) and adjacent names, feels bad.
Probably lesson personally, I had too much concentration in photonics vs. memory/other sectors without weighting/hedging properly.
With Soitec, there's been a few negative institutional reports that I'd disagree with. 
Think AXT was hit harder in specific just because of float expansion/dilution concerns. AAOI, probably just brought down with the theme.
I can't give advice on buying, so completely up to you to make for cost averaging or entering positions.
But I do think we're still early in the Supercycle with photonics, there's bound to be corrections/crashes along the way up.
If my personal thesis is correct though, many of these names will have a major inflection point in midway through 2027 scaling up to 2028.
Markets don't typically wait to price things in advance, but some ideas might be a tad early or in the buildout given it's H2 2026 now.
Which is why it's important to build your own conviction.</x:v>
      </x:c>
      <x:c r="M98" s="65" t="str">
        <x:v>https://x.com/aleabitoreddit/status/2069967746377662587</x:v>
      </x:c>
      <x:c r="N98" s="23" t="str">
        <x:v>제외</x:v>
      </x:c>
    </x:row>
    <x:row r="99" ht="60" customHeight="1">
      <x:c r="A99" s="23" t="n">
        <x:v>767</x:v>
      </x:c>
      <x:c r="B99" s="23" t="str">
        <x:v>ASTS</x:v>
      </x:c>
      <x:c r="C99" s="53" t="n">
        <x:v>46198.618796296294</x:v>
      </x:c>
      <x:c r="D99" s="23" t="str">
        <x:v>aleabitoreddit</x:v>
      </x:c>
      <x:c r="E99" s="23" t="str">
        <x:v>bearish</x:v>
      </x:c>
      <x:c r="F99" s="34" t="n">
        <x:v>0.9</x:v>
      </x:c>
      <x:c r="G99" s="23" t="str">
        <x:v>auto</x:v>
      </x:c>
      <x:c r="H99" s="23"/>
      <x:c r="I99" s="23" t="str">
        <x:v>first_mention</x:v>
      </x:c>
      <x:c r="J99" s="23" t="str">
        <x:v>positioning</x:v>
      </x:c>
      <x:c r="K99" s="50" t="str">
        <x:v>우주(ASTS)는 1개월간 40% 하락하며 부진.</x:v>
      </x:c>
      <x:c r="L99" s="50" t="str">
        <x:v>Feels like the only thing that hasn’t crashed…
Is memory like $MU, indexes, or large cap semis like Intel so far.
- Photonics from $AXTI to $SIVE down 40%.
- Space from $ASTS and $RKLB down 40% 1M. 
- Popular AI names like $PLTR is down ~35% YTD. 
- Software like $CRM down -40%.
- Bitcoin sub &lt;60k, Ethereum sub &lt;$16k.
Not a fun time with a hawkish fed narrative and potential rate hikes. 
However this does sorta feel overshot due to margin liquidations on less liquid assets compared to mega caps.
But we’ll see what happens, usually fundamentals override liquidity shock in the longer run.
I’m still personally bullish on the AI buildout + upstream AI capex beneficiaries, but 1-2 potential rate hikes certainly don’t help.</x:v>
      </x:c>
      <x:c r="M99" s="65" t="str">
        <x:v>https://x.com/aleabitoreddit/status/2070157835137434015</x:v>
      </x:c>
      <x:c r="N99" s="23" t="str">
        <x:v>vote 변경</x:v>
      </x:c>
    </x:row>
    <x:row r="100" ht="60" customHeight="1">
      <x:c r="A100" s="23" t="n">
        <x:v>779</x:v>
      </x:c>
      <x:c r="B100" s="23" t="str">
        <x:v>AAOI</x:v>
      </x:c>
      <x:c r="C100" s="53" t="n">
        <x:v>46198.677395833336</x:v>
      </x:c>
      <x:c r="D100" s="23" t="str">
        <x:v>aleabitoreddit</x:v>
      </x:c>
      <x:c r="E100" s="23" t="str">
        <x:v>bullish</x:v>
      </x:c>
      <x:c r="F100" s="34" t="n">
        <x:v>0.9</x:v>
      </x:c>
      <x:c r="G100" s="23" t="str">
        <x:v>auto</x:v>
      </x:c>
      <x:c r="H100" s="23"/>
      <x:c r="I100" s="23" t="str">
        <x:v>new_claim</x:v>
      </x:c>
      <x:c r="J100" s="23" t="str">
        <x:v>growth</x:v>
      </x:c>
      <x:c r="K100" s="50" t="str">
        <x:v>AAOI는 2027년 상반기 월 4억 7100만 달러의 매출을 전망하며, AMD와의 장기 계약 논의 중</x:v>
      </x:c>
      <x:c r="L100" s="50" t="str">
        <x:v>oh i think u misunderstand... I'm actually more bullish than ever as prices go down. 
$SIVE at ~$1.9B MC you have:
- $GFS reference laser 
- laser for Ayar and others in $NVDA NVLink ecosystem for CPO scale up
- $POET and others for CPO scale out
- $JBL and others for 1.6T+ pluggable optical transcivers 
- O-Net for ELS mass production
So you have all these hyperscaler suppliers trying to create as much as possible with Sivers as the laser bottleneck... 
And it's just a matter of how much Win Semi + others partners can make, with $SIVE receiving ~60% gross margins + optionality to TAM expand downward. 
The 15% recent share expansion that Swedish media have been bearposting is for NASDAQ listing float + M&amp;A (and it's authorization). 
You just have potential short sellers running illegal bot farms, Swedish media bearposting a company Swedish exchange, on top of a general macro drop. 
The ~$140M convertible note is real, but it's pennies to US institutions. We'll likely see more institutional ownership when data comes out.   
But this is also why it's good for $SIVE to prioritize NASDAQ listing so they don't need to deal with this noise and local media. 
With $AAOI at $10B, you have:
- A end-to-end US laser/design/assembly player projecting $471m month revenue H1 entering H2 2027. 
- With other hyperscalers like $AMD apparently discussing LTAs. 
And they probably are sitting on a ton of cash after running ~$1.4B in ATMs (400M + 400m+ 600m).  
Kinda all that needs to be said with those insane revenue projections as long as management doesn't BS. 
This just reminds me of when $NBIS crashed to $70 last year even while projecting $7-9B ARR, and as timelines got closer it recovered to $250+. Feels like dejavu. 
I'm just waiting for both volume ramps to hit. Photonics are generally more volatile than the rest.</x:v>
      </x:c>
      <x:c r="M100" s="65" t="str">
        <x:v>https://x.com/aleabitoreddit/status/2070179074048409662</x:v>
      </x:c>
      <x:c r="N100" s="23" t="str">
        <x:v>vote 변경</x:v>
      </x:c>
    </x:row>
    <x:row r="101" ht="60" customHeight="1">
      <x:c r="A101" s="23" t="n">
        <x:v>801</x:v>
      </x:c>
      <x:c r="B101" s="23" t="str">
        <x:v>AAOI</x:v>
      </x:c>
      <x:c r="C101" s="53" t="n">
        <x:v>46198.69600694445</x:v>
      </x:c>
      <x:c r="D101" s="23" t="str">
        <x:v>aleabitoreddit</x:v>
      </x:c>
      <x:c r="E101" s="23" t="str">
        <x:v>bullish</x:v>
      </x:c>
      <x:c r="F101" s="34" t="n">
        <x:v>0.9</x:v>
      </x:c>
      <x:c r="G101" s="23" t="str">
        <x:v>auto</x:v>
      </x:c>
      <x:c r="H101" s="23"/>
      <x:c r="I101" s="23" t="str">
        <x:v>new_claim</x:v>
      </x:c>
      <x:c r="J101" s="23" t="str">
        <x:v>valuation</x:v>
      </x:c>
      <x:c r="K101" s="50" t="str">
        <x:v>연간 매출 54억 달러를 달성하는 포토닉스 기업은 더 높은 밸류에이션을 받을 자격이 있다.</x:v>
      </x:c>
      <x:c r="L101" s="50" t="str">
        <x:v>@hobielandrith I posted about $AAOI at $2.1B MC when someone called photonics "late". 
Then at $5.3B after earnings.
Then $11B now. 
Unless their projections are wrong, doing $5.4B annual revenue ($471m/m) as a photonics company probably commands higher valuations. https://t.co/ORFGNdySSc</x:v>
      </x:c>
      <x:c r="M101" s="65" t="str">
        <x:v>https://x.com/aleabitoreddit/status/2070185814722834696</x:v>
      </x:c>
      <x:c r="N101" s="23" t="str">
        <x:v>vote 변경</x:v>
      </x:c>
    </x:row>
    <x:row r="102" ht="60" customHeight="1">
      <x:c r="A102" s="23" t="n">
        <x:v>782</x:v>
      </x:c>
      <x:c r="B102" s="23" t="str">
        <x:v>AAOI</x:v>
      </x:c>
      <x:c r="C102" s="53" t="n">
        <x:v>46199.03486111111</x:v>
      </x:c>
      <x:c r="D102" s="23" t="str">
        <x:v>aleabitoreddit</x:v>
      </x:c>
      <x:c r="E102" s="23" t="str">
        <x:v>neutral</x:v>
      </x:c>
      <x:c r="F102" s="34" t="n">
        <x:v>0.5</x:v>
      </x:c>
      <x:c r="G102" s="23" t="str">
        <x:v>needs_review</x:v>
      </x:c>
      <x:c r="H102" s="23" t="str">
        <x:v>stance</x:v>
      </x:c>
      <x:c r="I102" s="23" t="str">
        <x:v>unclear</x:v>
      </x:c>
      <x:c r="J102" s="23" t="str">
        <x:v>risk</x:v>
      </x:c>
      <x:c r="K102" s="50" t="str">
        <x:v>광자 테마 매도와 거시적 하락이 AAOI에 영향을 미침</x:v>
      </x:c>
      <x:c r="L102" s="50" t="str">
        <x:v>@chenbaiyang70 Looks like photonics theme selloff combined with macro drop with $AAOI.
I’m personally confident from $AMD CW LTA reports and next year’s $471M/month projections. 
But of course people should make their own decisions, optical names tend to be more volatile.</x:v>
      </x:c>
      <x:c r="M102" s="65" t="str">
        <x:v>https://x.com/aleabitoreddit/status/2070308614829728045</x:v>
      </x:c>
      <x:c r="N102" s="23" t="str">
        <x:v>제외</x:v>
      </x:c>
    </x:row>
    <x:row r="103" ht="60" customHeight="1">
      <x:c r="A103" s="23" t="n">
        <x:v>805</x:v>
      </x:c>
      <x:c r="B103" s="23" t="str">
        <x:v>AAOI</x:v>
      </x:c>
      <x:c r="C103" s="53" t="n">
        <x:v>46199.12934027778</x:v>
      </x:c>
      <x:c r="D103" s="23" t="str">
        <x:v>aleabitoreddit</x:v>
      </x:c>
      <x:c r="E103" s="23" t="str">
        <x:v>bullish</x:v>
      </x:c>
      <x:c r="F103" s="34" t="n">
        <x:v>0.8</x:v>
      </x:c>
      <x:c r="G103" s="23" t="str">
        <x:v>needs_review</x:v>
      </x:c>
      <x:c r="H103" s="23" t="str">
        <x:v>claim</x:v>
      </x:c>
      <x:c r="I103" s="23" t="str">
        <x:v>repeat</x:v>
      </x:c>
      <x:c r="J103" s="23" t="str">
        <x:v>positioning</x:v>
      </x:c>
      <x:c r="K103" s="50" t="str">
        <x:v>작성자가 $30에 매수 아이디어를 제시했으며, 이후 큰 폭의 상승을 기록했다고 주장합니다.</x:v>
      </x:c>
      <x:c r="L103" s="50" t="str">
        <x:v>FYI, I posted ideas about $AXTI at $15, $AAOI at $30, $TSEM at $115, $LITE $300, $MU $300, $SNDK $400, $EWY $110, $SIVE $4.
$IQE $13, $SOI $44 and so on.
So when they finally have a massive correction due to macro drop the ideas are wrong? And most are still up a few hundred percent.
TW CPO names are just really early and I’m down a lot on those but I expect them to recover in due time.</x:v>
      </x:c>
      <x:c r="M103" s="65" t="str">
        <x:v>https://x.com/aleabitoreddit/status/2070342850878009346</x:v>
      </x:c>
      <x:c r="N103" s="23" t="str">
        <x:v>제외</x:v>
      </x:c>
    </x:row>
    <x:row r="104" ht="60" customHeight="1">
      <x:c r="A104" s="23" t="n">
        <x:v>807</x:v>
      </x:c>
      <x:c r="B104" s="23" t="str">
        <x:v>LITE</x:v>
      </x:c>
      <x:c r="C104" s="53" t="n">
        <x:v>46199.12934027778</x:v>
      </x:c>
      <x:c r="D104" s="23" t="str">
        <x:v>aleabitoreddit</x:v>
      </x:c>
      <x:c r="E104" s="23" t="str">
        <x:v>bullish</x:v>
      </x:c>
      <x:c r="F104" s="34" t="n">
        <x:v>0.8</x:v>
      </x:c>
      <x:c r="G104" s="23" t="str">
        <x:v>needs_review</x:v>
      </x:c>
      <x:c r="H104" s="23" t="str">
        <x:v>claim</x:v>
      </x:c>
      <x:c r="I104" s="23" t="str">
        <x:v>repeat</x:v>
      </x:c>
      <x:c r="J104" s="23" t="str">
        <x:v>positioning</x:v>
      </x:c>
      <x:c r="K104" s="50" t="str">
        <x:v>작성자가 $300에 매수 아이디어를 제시했으며, 이후 큰 폭의 상승을 기록했다고 주장합니다.</x:v>
      </x:c>
      <x:c r="L104" s="50" t="str">
        <x:v>FYI, I posted ideas about $AXTI at $15, $AAOI at $30, $TSEM at $115, $LITE $300, $MU $300, $SNDK $400, $EWY $110, $SIVE $4.
$IQE $13, $SOI $44 and so on.
So when they finally have a massive correction due to macro drop the ideas are wrong? And most are still up a few hundred percent.
TW CPO names are just really early and I’m down a lot on those but I expect them to recover in due time.</x:v>
      </x:c>
      <x:c r="M104" s="65" t="str">
        <x:v>https://x.com/aleabitoreddit/status/2070342850878009346</x:v>
      </x:c>
      <x:c r="N104" s="23" t="str">
        <x:v>제외</x:v>
      </x:c>
    </x:row>
    <x:row r="105" ht="60" customHeight="1">
      <x:c r="A105" s="23" t="n">
        <x:v>816</x:v>
      </x:c>
      <x:c r="B105" s="23" t="str">
        <x:v>AAOI</x:v>
      </x:c>
      <x:c r="C105" s="53" t="n">
        <x:v>46199.3768287037</x:v>
      </x:c>
      <x:c r="D105" s="23" t="str">
        <x:v>aleabitoreddit</x:v>
      </x:c>
      <x:c r="E105" s="23" t="str">
        <x:v>bullish</x:v>
      </x:c>
      <x:c r="F105" s="34" t="n">
        <x:v>0.9</x:v>
      </x:c>
      <x:c r="G105" s="23" t="str">
        <x:v>auto</x:v>
      </x:c>
      <x:c r="H105" s="23"/>
      <x:c r="I105" s="23" t="str">
        <x:v>first_mention</x:v>
      </x:c>
      <x:c r="J105" s="23" t="str">
        <x:v>growth</x:v>
      </x:c>
      <x:c r="K105" s="50" t="str">
        <x:v>2027년 레이저 부문에서 수익 성장이 있을 것이라고 확신함.</x:v>
      </x:c>
      <x:c r="L105" s="50" t="str">
        <x:v>@JClaydog Yeah sad to see. 
I'm personally very confident in $SIVE / $AAOI to revenue ramp with lasers in 2027 so I'm sleeping easy.</x:v>
      </x:c>
      <x:c r="M105" s="65" t="str">
        <x:v>https://x.com/aleabitoreddit/status/2070432536384372867</x:v>
      </x:c>
      <x:c r="N105" s="23" t="str">
        <x:v>vote 변경</x:v>
      </x:c>
    </x:row>
    <x:row r="106" ht="60" customHeight="1">
      <x:c r="A106" s="23" t="n">
        <x:v>857</x:v>
      </x:c>
      <x:c r="B106" s="23" t="str">
        <x:v>LITE</x:v>
      </x:c>
      <x:c r="C106" s="53" t="n">
        <x:v>46202.29010416667</x:v>
      </x:c>
      <x:c r="D106" s="23" t="str">
        <x:v>aleabitoreddit</x:v>
      </x:c>
      <x:c r="E106" s="23" t="str">
        <x:v>bullish</x:v>
      </x:c>
      <x:c r="F106" s="34" t="n">
        <x:v>0.8</x:v>
      </x:c>
      <x:c r="G106" s="23" t="str">
        <x:v>auto</x:v>
      </x:c>
      <x:c r="H106" s="23"/>
      <x:c r="I106" s="23" t="str">
        <x:v>new_claim</x:v>
      </x:c>
      <x:c r="J106" s="23" t="str">
        <x:v>catalyst</x:v>
      </x:c>
      <x:c r="K106" s="50" t="str">
        <x:v>LITE CEO가 2028년까지 레이저 공급 부족을 언급, POET AGM에서 2029년까지 연장 확인</x:v>
      </x:c>
      <x:c r="L106" s="50" t="str">
        <x:v>Just some notes on $POET AGM and read through on optical markets:
- "The top three laser suppliers control 68% of the market, and they’re completely sold out for the next two years"
$LITE CEO said into 2028, so POET implicitly confirms laser shortage is going into 2029 now.
- NRE with a new customer, building on POET’s interposer for high-power external light source.
This is high confidence $SIVE as laser supplier given the Sept 29, 2025 PR on ELS, and new customer qualification would be material for revenue if it goes into volume ramp. 
- Poet expects Lumilens commercial agreement to scale to over $500 million over the next 5 years.
Lumilens claimed a top-3 hyperscaler was their initial customer (Linkedin OSINT)
- $830M cash on hand on balance sheet (this is more for Poet fundamentals).
- "The entire optical components industry today is facing a severe shortage of critical components."
Reaffirming what we know already regarding optical bottlenecks.
- "Production ramp in the second half of 2026 this year." 
Just production timelines H2. 
In terms of $POET volumes:
- existing capacity around 1 million optical engines per year
- projected demand exiting 2027 around 1 million optical engines per month
- roughly 10x capacity expansion
I don't own Poet, but if management delivers on these projections it directionally looks very positive.
However something to note is that unlike other suppliers that have named hyperscaler customers to to back up capacity revenues like $AAOI: $POET seems more questionable.
But this does look like a very positive outlook for $POET if they match projections.</x:v>
      </x:c>
      <x:c r="M106" s="65" t="str">
        <x:v>https://x.com/aleabitoreddit/status/2071488272245944399</x:v>
      </x:c>
      <x:c r="N106" s="23" t="str">
        <x:v>vote 변경</x:v>
      </x:c>
    </x:row>
    <x:row r="107" ht="60" customHeight="1">
      <x:c r="A107" s="23" t="n">
        <x:v>854</x:v>
      </x:c>
      <x:c r="B107" s="23" t="str">
        <x:v>NVDA</x:v>
      </x:c>
      <x:c r="C107" s="53" t="n">
        <x:v>46202.4131712963</x:v>
      </x:c>
      <x:c r="D107" s="23" t="str">
        <x:v>aleabitoreddit</x:v>
      </x:c>
      <x:c r="E107" s="23" t="str">
        <x:v>bullish</x:v>
      </x:c>
      <x:c r="F107" s="34" t="n">
        <x:v>0.8</x:v>
      </x:c>
      <x:c r="G107" s="23" t="str">
        <x:v>auto</x:v>
      </x:c>
      <x:c r="H107" s="23"/>
      <x:c r="I107" s="23" t="str">
        <x:v>first_mention</x:v>
      </x:c>
      <x:c r="J107" s="23" t="str">
        <x:v>catalyst</x:v>
      </x:c>
      <x:c r="K107" s="50" t="str">
        <x:v>NVDA의 GM과의 공장 로봇 협업은 로봇 기술의 업계 검증을 의미함.</x:v>
      </x:c>
      <x:c r="L107" s="50" t="str">
        <x:v>$GM cuts 1,000 workers and replaces them with 50 robots (Jun 22nd report)
Reports also show GM is working on a deal with $NVDA on factory robotics.
This is industry validation for robotics, since it likely demonstrates increased opex margins + efficiency from employee automation. 
Especially from companies like $AMZN to General Motors with assembly/warehouse lines that have high headcount.
I think the technology is already here and use cases are already proven. Robotics/Humanoids are just pre-scale right now. 
The wording from large companies is “assistive robotics”… But in all honesty, it’s here to automate away the human workforce and increase profitability.
I don’t think companies want to be paying insurance, salaries, etc. when robots can do a better job, and 24/7, so very sad to see potential job losses in the future from robotics automation.
Whether people like it or not; seems like the inflection point for robotics is here.</x:v>
      </x:c>
      <x:c r="M107" s="65" t="str">
        <x:v>https://x.com/aleabitoreddit/status/2071532870859149617</x:v>
      </x:c>
      <x:c r="N107" s="23" t="str">
        <x:v>vote 변경</x:v>
      </x:c>
    </x:row>
    <x:row r="108" ht="60" customHeight="1">
      <x:c r="A108" s="23" t="n">
        <x:v>861</x:v>
      </x:c>
      <x:c r="B108" s="23" t="str">
        <x:v>ASTS</x:v>
      </x:c>
      <x:c r="C108" s="53" t="n">
        <x:v>46202.44667824074</x:v>
      </x:c>
      <x:c r="D108" s="23" t="str">
        <x:v>aleabitoreddit</x:v>
      </x:c>
      <x:c r="E108" s="23" t="str">
        <x:v>bullish</x:v>
      </x:c>
      <x:c r="F108" s="34" t="n">
        <x:v>0.7</x:v>
      </x:c>
      <x:c r="G108" s="23" t="str">
        <x:v>needs_review</x:v>
      </x:c>
      <x:c r="H108" s="23" t="str">
        <x:v>stance</x:v>
      </x:c>
      <x:c r="I108" s="23" t="str">
        <x:v>new_claim</x:v>
      </x:c>
      <x:c r="J108" s="23" t="str">
        <x:v>catalyst</x:v>
      </x:c>
      <x:c r="K108" s="50" t="str">
        <x:v>일본 Rakuten과의 합작법인 설립은 ASTS의 LEO 위성 네트워크 사업에 긍정적 촉매제</x:v>
      </x:c>
      <x:c r="L108" s="50" t="str">
        <x:v>Japan's Rakuten to establish joint venture with $ASTS to build out LEO satellite networks for Japan per Digitimes/Nikkei. 
"The move is widely viewed as a strategic response to the growing influence of $SPCX Starlink in Japan" https://t.co/RDFvgQNVsp</x:v>
      </x:c>
      <x:c r="M108" s="65" t="str">
        <x:v>https://x.com/aleabitoreddit/status/2071545016007467486</x:v>
      </x:c>
      <x:c r="N108" s="23" t="str">
        <x:v>제외</x:v>
      </x:c>
    </x:row>
    <x:row r="109" ht="60" customHeight="1">
      <x:c r="A109" s="23" t="n">
        <x:v>865</x:v>
      </x:c>
      <x:c r="B109" s="23" t="str">
        <x:v>AAOI</x:v>
      </x:c>
      <x:c r="C109" s="53" t="n">
        <x:v>46202.993993055556</x:v>
      </x:c>
      <x:c r="D109" s="23" t="str">
        <x:v>aleabitoreddit</x:v>
      </x:c>
      <x:c r="E109" s="23" t="str">
        <x:v>bullish</x:v>
      </x:c>
      <x:c r="F109" s="34" t="n">
        <x:v>0.8</x:v>
      </x:c>
      <x:c r="G109" s="23" t="str">
        <x:v>auto</x:v>
      </x:c>
      <x:c r="H109" s="23"/>
      <x:c r="I109" s="23" t="str">
        <x:v>first_mention</x:v>
      </x:c>
      <x:c r="J109" s="23" t="str">
        <x:v>thesis</x:v>
      </x:c>
      <x:c r="K109" s="50" t="str">
        <x:v>광학 종목은 조정을 받았지만, 결국 포토닉스로 다시 순환할 것이며 개인적으로 가장 높은 비중을 둔 테마임.</x:v>
      </x:c>
      <x:c r="L109" s="50" t="str">
        <x:v>@gurukid5995 Markets tend to rotate from bottleneck to bottleneck.
Memory from $SNDK to $MU was the market's main focus this month, while optical names like $AAOI corrected.
I think we'll see a rotation back into photonics eventually, it's personally my highest concentration theme.</x:v>
      </x:c>
      <x:c r="M109" s="65" t="str">
        <x:v>https://x.com/aleabitoreddit/status/2071743355684626656</x:v>
      </x:c>
      <x:c r="N109" s="23" t="str">
        <x:v>vote 변경</x:v>
      </x:c>
    </x:row>
    <x:row r="110" ht="60" customHeight="1">
      <x:c r="A110" s="23" t="n">
        <x:v>920</x:v>
      </x:c>
      <x:c r="B110" s="23" t="str">
        <x:v>AAOI</x:v>
      </x:c>
      <x:c r="C110" s="53" t="n">
        <x:v>46204.72791666666</x:v>
      </x:c>
      <x:c r="D110" s="23" t="str">
        <x:v>aleabitoreddit</x:v>
      </x:c>
      <x:c r="E110" s="23" t="str">
        <x:v>bullish</x:v>
      </x:c>
      <x:c r="F110" s="34" t="n">
        <x:v>0.8</x:v>
      </x:c>
      <x:c r="G110" s="23" t="str">
        <x:v>auto</x:v>
      </x:c>
      <x:c r="H110" s="23"/>
      <x:c r="I110" s="23" t="str">
        <x:v>repeat</x:v>
      </x:c>
      <x:c r="J110" s="23" t="str">
        <x:v>positioning</x:v>
      </x:c>
      <x:c r="K110" s="50" t="str">
        <x:v>포트폴리오의 대부분을 차지하는 주요 보유 종목</x:v>
      </x:c>
      <x:c r="L110" s="50" t="str">
        <x:v>Where did I ever say that? Majority of my portfolio is concentrated in photonics with names like $SIVE and $AAOI.
However, I’m allowed to talk about other exciting developments as well… Such as the first listed US humanoid player?
I still think CPO/optics has the fastest TAM ramp out of any industry, just a bit early since I’m projecting revenue inflection really hits ~H2 2027. 
I’m personally down a lot past few weeks, but I’m convinced my thesis with laser chokepoints and others plays out.</x:v>
      </x:c>
      <x:c r="M110" s="65" t="str">
        <x:v>https://x.com/aleabitoreddit/status/2072371706568806595</x:v>
      </x:c>
      <x:c r="N110" s="23" t="str">
        <x:v>vote 변경</x:v>
      </x:c>
    </x:row>
    <x:row r="111" ht="60" customHeight="1">
      <x:c r="A111" s="23" t="n">
        <x:v>928</x:v>
      </x:c>
      <x:c r="B111" s="23" t="str">
        <x:v>AAOI</x:v>
      </x:c>
      <x:c r="C111" s="53" t="n">
        <x:v>46205.290300925924</x:v>
      </x:c>
      <x:c r="D111" s="23" t="str">
        <x:v>aleabitoreddit</x:v>
      </x:c>
      <x:c r="E111" s="23" t="str">
        <x:v>bullish</x:v>
      </x:c>
      <x:c r="F111" s="34" t="n">
        <x:v>0.6</x:v>
      </x:c>
      <x:c r="G111" s="23" t="str">
        <x:v>needs_review</x:v>
      </x:c>
      <x:c r="H111" s="23" t="str">
        <x:v>stance</x:v>
      </x:c>
      <x:c r="I111" s="23" t="str">
        <x:v>first_mention</x:v>
      </x:c>
      <x:c r="J111" s="23" t="str">
        <x:v>positioning</x:v>
      </x:c>
      <x:c r="K111" s="50" t="str">
        <x:v>AAOI는 고베타/소형주 중에서 하락을 선행하여 상대적으로 선방함.</x:v>
      </x:c>
      <x:c r="L111" s="50" t="str">
        <x:v>@DogUrineCapital This is pretty disgusting to see $MRVL down -11%, $AMAT down -11% to $NBIS down -18%
On the bright side a lot of the higher beta/smaller names like $AAOI frontran the drop.
So those are faring better https://t.co/OEyJ4YiQQr</x:v>
      </x:c>
      <x:c r="M111" s="65" t="str">
        <x:v>https://x.com/aleabitoreddit/status/2072575509880512555</x:v>
      </x:c>
      <x:c r="N111" s="23" t="str">
        <x:v>제외</x:v>
      </x:c>
    </x:row>
    <x:row r="112" ht="60" customHeight="1">
      <x:c r="A112" s="23" t="n">
        <x:v>940</x:v>
      </x:c>
      <x:c r="B112" s="23" t="str">
        <x:v>NVDA</x:v>
      </x:c>
      <x:c r="C112" s="53" t="n">
        <x:v>46205.70591435185</x:v>
      </x:c>
      <x:c r="D112" s="23" t="str">
        <x:v>aleabitoreddit</x:v>
      </x:c>
      <x:c r="E112" s="23" t="str">
        <x:v>bullish</x:v>
      </x:c>
      <x:c r="F112" s="34" t="n">
        <x:v>0.9</x:v>
      </x:c>
      <x:c r="G112" s="23" t="str">
        <x:v>auto</x:v>
      </x:c>
      <x:c r="H112" s="23"/>
      <x:c r="I112" s="23" t="str">
        <x:v>new_claim</x:v>
      </x:c>
      <x:c r="J112" s="23" t="str">
        <x:v>thesis</x:v>
      </x:c>
      <x:c r="K112" s="50" t="str">
        <x:v>광통신 아키텍처 변화를 주도하며, 이는 실제 매출로 뒷받침됨.</x:v>
      </x:c>
      <x:c r="L112" s="50" t="str">
        <x:v>Photonics is backed by actual revenue numbers and it's an architectural shift championed by $NVDA.
Quantum barely has any revenue.
$LITE is completely sold out for the next 2 years (per $POET AGM) likely starting into 2029. Lumentum is so strained that they buy CW lasers off competitors (earnings transcript)
$COHR is bottlenecked, so they buy EML off Lumentum.
Then, $AAOI is coming in with Made-in-America independent CW capacity, are projecting $1.4B/quarterly revenue ending H1 2027 of a stupid $9.3B MC today. 
So all the CW capacity from independent players who have it now like $AAOI or $SIVE are likely to become scarce resources.
Many other hyperscalers have already started LTA discussions (per Trendforce). And players like $AMD are currently talking with players such as $AAOI (Rosenblatt channel checks).
Thematically, next 2 years is 9x TAM to US$154B per GS reports, especially with 16x/45x dollar content increase in scale out/scale up.
Then there's the overall thematic AI drop from $META, which is widely misunderstood because people conflate what "excess capacity" means. And as UBS mentioned, Meta planning a cloud offering is NOT NEW NEWS.
Bloomberg just has a tendency to publish information that causes doom drops across the semi sector like Nvidia export controls a few months back. 
But I'm familiar with what I'm holding so I'm confident in these numbers playing out. 
Especially when all the major players are sold out, the fundamentals catch up eventually.</x:v>
      </x:c>
      <x:c r="M112" s="65" t="str">
        <x:v>https://x.com/aleabitoreddit/status/2072726120706007465</x:v>
      </x:c>
      <x:c r="N112" s="23" t="str">
        <x:v>vote 변경</x:v>
      </x:c>
    </x:row>
    <x:row r="113" ht="60" customHeight="1">
      <x:c r="A113" s="23" t="n">
        <x:v>941</x:v>
      </x:c>
      <x:c r="B113" s="23" t="str">
        <x:v>LITE</x:v>
      </x:c>
      <x:c r="C113" s="53" t="n">
        <x:v>46205.70591435185</x:v>
      </x:c>
      <x:c r="D113" s="23" t="str">
        <x:v>aleabitoreddit</x:v>
      </x:c>
      <x:c r="E113" s="23" t="str">
        <x:v>bullish</x:v>
      </x:c>
      <x:c r="F113" s="34" t="n">
        <x:v>0.9</x:v>
      </x:c>
      <x:c r="G113" s="23" t="str">
        <x:v>auto</x:v>
      </x:c>
      <x:c r="H113" s="23"/>
      <x:c r="I113" s="23" t="str">
        <x:v>first_mention</x:v>
      </x:c>
      <x:c r="J113" s="23" t="str">
        <x:v>catalyst</x:v>
      </x:c>
      <x:c r="K113" s="50" t="str">
        <x:v>향후 2년간 완전히 매진되었으며, 2029년까지 공급이 부족할 것으로 예상됨.</x:v>
      </x:c>
      <x:c r="L113" s="50" t="str">
        <x:v>Photonics is backed by actual revenue numbers and it's an architectural shift championed by $NVDA.
Quantum barely has any revenue.
$LITE is completely sold out for the next 2 years (per $POET AGM) likely starting into 2029. Lumentum is so strained that they buy CW lasers off competitors (earnings transcript)
$COHR is bottlenecked, so they buy EML off Lumentum.
Then, $AAOI is coming in with Made-in-America independent CW capacity, are projecting $1.4B/quarterly revenue ending H1 2027 of a stupid $9.3B MC today. 
So all the CW capacity from independent players who have it now like $AAOI or $SIVE are likely to become scarce resources.
Many other hyperscalers have already started LTA discussions (per Trendforce). And players like $AMD are currently talking with players such as $AAOI (Rosenblatt channel checks).
Thematically, next 2 years is 9x TAM to US$154B per GS reports, especially with 16x/45x dollar content increase in scale out/scale up.
Then there's the overall thematic AI drop from $META, which is widely misunderstood because people conflate what "excess capacity" means. And as UBS mentioned, Meta planning a cloud offering is NOT NEW NEWS.
Bloomberg just has a tendency to publish information that causes doom drops across the semi sector like Nvidia export controls a few months back. 
But I'm familiar with what I'm holding so I'm confident in these numbers playing out. 
Especially when all the major players are sold out, the fundamentals catch up eventually.</x:v>
      </x:c>
      <x:c r="M113" s="65" t="str">
        <x:v>https://x.com/aleabitoreddit/status/2072726120706007465</x:v>
      </x:c>
      <x:c r="N113" s="23" t="str">
        <x:v>vote 변경</x:v>
      </x:c>
    </x:row>
    <x:row r="114" ht="60" customHeight="1">
      <x:c r="A114" s="23" t="n">
        <x:v>943</x:v>
      </x:c>
      <x:c r="B114" s="23" t="str">
        <x:v>COHR</x:v>
      </x:c>
      <x:c r="C114" s="53" t="n">
        <x:v>46205.70591435185</x:v>
      </x:c>
      <x:c r="D114" s="23" t="str">
        <x:v>aleabitoreddit</x:v>
      </x:c>
      <x:c r="E114" s="23" t="str">
        <x:v>bullish</x:v>
      </x:c>
      <x:c r="F114" s="34" t="n">
        <x:v>0.8</x:v>
      </x:c>
      <x:c r="G114" s="23" t="str">
        <x:v>auto</x:v>
      </x:c>
      <x:c r="H114" s="23"/>
      <x:c r="I114" s="23" t="str">
        <x:v>first_mention</x:v>
      </x:c>
      <x:c r="J114" s="23" t="str">
        <x:v>catalyst</x:v>
      </x:c>
      <x:c r="K114" s="50" t="str">
        <x:v>병목 현상으로 인해 Lumentum으로부터 EML을 구매하고 있음.</x:v>
      </x:c>
      <x:c r="L114" s="50" t="str">
        <x:v>Photonics is backed by actual revenue numbers and it's an architectural shift championed by $NVDA.
Quantum barely has any revenue.
$LITE is completely sold out for the next 2 years (per $POET AGM) likely starting into 2029. Lumentum is so strained that they buy CW lasers off competitors (earnings transcript)
$COHR is bottlenecked, so they buy EML off Lumentum.
Then, $AAOI is coming in with Made-in-America independent CW capacity, are projecting $1.4B/quarterly revenue ending H1 2027 of a stupid $9.3B MC today. 
So all the CW capacity from independent players who have it now like $AAOI or $SIVE are likely to become scarce resources.
Many other hyperscalers have already started LTA discussions (per Trendforce). And players like $AMD are currently talking with players such as $AAOI (Rosenblatt channel checks).
Thematically, next 2 years is 9x TAM to US$154B per GS reports, especially with 16x/45x dollar content increase in scale out/scale up.
Then there's the overall thematic AI drop from $META, which is widely misunderstood because people conflate what "excess capacity" means. And as UBS mentioned, Meta planning a cloud offering is NOT NEW NEWS.
Bloomberg just has a tendency to publish information that causes doom drops across the semi sector like Nvidia export controls a few months back. 
But I'm familiar with what I'm holding so I'm confident in these numbers playing out. 
Especially when all the major players are sold out, the fundamentals catch up eventually.</x:v>
      </x:c>
      <x:c r="M114" s="65" t="str">
        <x:v>https://x.com/aleabitoreddit/status/2072726120706007465</x:v>
      </x:c>
      <x:c r="N114" s="23" t="str">
        <x:v>vote 변경</x:v>
      </x:c>
    </x:row>
    <x:row r="115" ht="60" customHeight="1">
      <x:c r="A115" s="23" t="n">
        <x:v>944</x:v>
      </x:c>
      <x:c r="B115" s="23" t="str">
        <x:v>AAOI</x:v>
      </x:c>
      <x:c r="C115" s="53" t="n">
        <x:v>46205.70591435185</x:v>
      </x:c>
      <x:c r="D115" s="23" t="str">
        <x:v>aleabitoreddit</x:v>
      </x:c>
      <x:c r="E115" s="23" t="str">
        <x:v>bullish</x:v>
      </x:c>
      <x:c r="F115" s="34" t="n">
        <x:v>0.9</x:v>
      </x:c>
      <x:c r="G115" s="23" t="str">
        <x:v>auto</x:v>
      </x:c>
      <x:c r="H115" s="23"/>
      <x:c r="I115" s="23" t="str">
        <x:v>first_mention</x:v>
      </x:c>
      <x:c r="J115" s="23" t="str">
        <x:v>growth</x:v>
      </x:c>
      <x:c r="K115" s="50" t="str">
        <x:v>미국 내 독립 CW 용량을 확보하고 있으며, 2027년 상반기까지 분기 매출 14억 달러를 예상. 현재 시가총액 93억 달러 대비 저평가.</x:v>
      </x:c>
      <x:c r="L115" s="50" t="str">
        <x:v>Photonics is backed by actual revenue numbers and it's an architectural shift championed by $NVDA.
Quantum barely has any revenue.
$LITE is completely sold out for the next 2 years (per $POET AGM) likely starting into 2029. Lumentum is so strained that they buy CW lasers off competitors (earnings transcript)
$COHR is bottlenecked, so they buy EML off Lumentum.
Then, $AAOI is coming in with Made-in-America independent CW capacity, are projecting $1.4B/quarterly revenue ending H1 2027 of a stupid $9.3B MC today. 
So all the CW capacity from independent players who have it now like $AAOI or $SIVE are likely to become scarce resources.
Many other hyperscalers have already started LTA discussions (per Trendforce). And players like $AMD are currently talking with players such as $AAOI (Rosenblatt channel checks).
Thematically, next 2 years is 9x TAM to US$154B per GS reports, especially with 16x/45x dollar content increase in scale out/scale up.
Then there's the overall thematic AI drop from $META, which is widely misunderstood because people conflate what "excess capacity" means. And as UBS mentioned, Meta planning a cloud offering is NOT NEW NEWS.
Bloomberg just has a tendency to publish information that causes doom drops across the semi sector like Nvidia export controls a few months back. 
But I'm familiar with what I'm holding so I'm confident in these numbers playing out. 
Especially when all the major players are sold out, the fundamentals catch up eventually.</x:v>
      </x:c>
      <x:c r="M115" s="65" t="str">
        <x:v>https://x.com/aleabitoreddit/status/2072726120706007465</x:v>
      </x:c>
      <x:c r="N115" s="23" t="str">
        <x:v>vote 변경</x:v>
      </x:c>
    </x:row>
    <x:row r="116" ht="60" customHeight="1">
      <x:c r="A116" s="23" t="n">
        <x:v>939</x:v>
      </x:c>
      <x:c r="B116" s="23" t="str">
        <x:v>AAOI</x:v>
      </x:c>
      <x:c r="C116" s="53" t="n">
        <x:v>46205.713692129626</x:v>
      </x:c>
      <x:c r="D116" s="23" t="str">
        <x:v>aleabitoreddit</x:v>
      </x:c>
      <x:c r="E116" s="23" t="str">
        <x:v>neutral</x:v>
      </x:c>
      <x:c r="F116" s="34" t="n">
        <x:v>0.3</x:v>
      </x:c>
      <x:c r="G116" s="23" t="str">
        <x:v>needs_review</x:v>
      </x:c>
      <x:c r="H116" s="23" t="str">
        <x:v>stance</x:v>
      </x:c>
      <x:c r="I116" s="23" t="str">
        <x:v>first_mention</x:v>
      </x:c>
      <x:c r="J116" s="23" t="str">
        <x:v>other</x:v>
      </x:c>
      <x:c r="K116" s="50" t="str">
        <x:v>AAOI의 무작위 20-30% 급등 사례를 변동성 예시로 언급했으나, 투자 의견은 명확하지 않음.</x:v>
      </x:c>
      <x:c r="L116" s="50" t="str">
        <x:v>@ram_blings NP, I'm not sure if people remember this but $SIVE went up +70% in a day off $GFS news. And $AAOI has random +20-30% days. 
They're also capable of doing the opposite. 
Photonics sector are very volatile, but directionally they follow fundamentals in the long run.</x:v>
      </x:c>
      <x:c r="M116" s="65" t="str">
        <x:v>https://x.com/aleabitoreddit/status/2072728939324428655</x:v>
      </x:c>
      <x:c r="N116" s="23" t="str">
        <x:v>제외</x:v>
      </x:c>
    </x:row>
    <x:row r="117" ht="60" customHeight="1">
      <x:c r="A117" s="23" t="n">
        <x:v>956</x:v>
      </x:c>
      <x:c r="B117" s="23" t="str">
        <x:v>NVDA</x:v>
      </x:c>
      <x:c r="C117" s="53" t="n">
        <x:v>46205.72372685185</x:v>
      </x:c>
      <x:c r="D117" s="23" t="str">
        <x:v>aleabitoreddit</x:v>
      </x:c>
      <x:c r="E117" s="23" t="str">
        <x:v>bullish</x:v>
      </x:c>
      <x:c r="F117" s="34" t="n">
        <x:v>0.9</x:v>
      </x:c>
      <x:c r="G117" s="23" t="str">
        <x:v>auto</x:v>
      </x:c>
      <x:c r="H117" s="23"/>
      <x:c r="I117" s="23" t="str">
        <x:v>first_mention</x:v>
      </x:c>
      <x:c r="J117" s="23" t="str">
        <x:v>catalyst</x:v>
      </x:c>
      <x:c r="K117" s="50" t="str">
        <x:v>Ayar가 NVDA의 NVLink에 CPO로 참여하고 SIVE를 사용하여 대량 생산하면 수익이 발생한다.</x:v>
      </x:c>
      <x:c r="L117" s="50" t="str">
        <x:v>Are you stupid? 
1. $JBL mass producing 1.6T LRO is revenue. 
2 O-Net mass producing ELS is revenue.
3. $GFS using $SIVE as reference laser for the hyperscalers is revenue. 
4. Ayar joining $NVDA NVLink for CPO and using $SIVE for mass production is revenue. 
5. Other pluggable players, potentially Eoptolink/Innolight mass producing pluggables with $SIVE as lasers is revenue. 
6. $POET entering volume production is revenue.</x:v>
      </x:c>
      <x:c r="M117" s="65" t="str">
        <x:v>https://x.com/aleabitoreddit/status/2072732576952012829</x:v>
      </x:c>
      <x:c r="N117" s="23" t="str">
        <x:v>vote 변경</x:v>
      </x:c>
    </x:row>
    <x:row r="118" ht="60" customHeight="1">
      <x:c r="A118" s="23" t="n">
        <x:v>983</x:v>
      </x:c>
      <x:c r="B118" s="23" t="str">
        <x:v>COHR</x:v>
      </x:c>
      <x:c r="C118" s="53" t="n">
        <x:v>46205.89649305555</x:v>
      </x:c>
      <x:c r="D118" s="23" t="str">
        <x:v>aleabitoreddit</x:v>
      </x:c>
      <x:c r="E118" s="23" t="str">
        <x:v>neutral</x:v>
      </x:c>
      <x:c r="F118" s="34" t="n">
        <x:v>0.5</x:v>
      </x:c>
      <x:c r="G118" s="23" t="str">
        <x:v>needs_review</x:v>
      </x:c>
      <x:c r="H118" s="23" t="str">
        <x:v>stance</x:v>
      </x:c>
      <x:c r="I118" s="23" t="str">
        <x:v>first_mention</x:v>
      </x:c>
      <x:c r="J118" s="23" t="str">
        <x:v>other</x:v>
      </x:c>
      <x:c r="K118" s="50"/>
      <x:c r="L118" s="50" t="str">
        <x:v>$AXTI signs 3-year wafer deal with $COHR.
"Coherent will make a prepayment of $22,288,500 to AXT-Tongmei in exchange for a committed supply capacity." https://t.co/nTkyJSMo96</x:v>
      </x:c>
      <x:c r="M118" s="65" t="str">
        <x:v>https://x.com/aleabitoreddit/status/2072795186263187831</x:v>
      </x:c>
      <x:c r="N118" s="23" t="str">
        <x:v>제외</x:v>
      </x:c>
    </x:row>
    <x:row r="119" ht="60" customHeight="1">
      <x:c r="A119" s="23" t="n">
        <x:v>989</x:v>
      </x:c>
      <x:c r="B119" s="23" t="str">
        <x:v>AAOI</x:v>
      </x:c>
      <x:c r="C119" s="53" t="n">
        <x:v>46206.25623842593</x:v>
      </x:c>
      <x:c r="D119" s="23" t="str">
        <x:v>aleabitoreddit</x:v>
      </x:c>
      <x:c r="E119" s="23" t="str">
        <x:v>bullish</x:v>
      </x:c>
      <x:c r="F119" s="34" t="n">
        <x:v>0.6</x:v>
      </x:c>
      <x:c r="G119" s="23" t="str">
        <x:v>needs_review</x:v>
      </x:c>
      <x:c r="H119" s="23" t="str">
        <x:v>stance</x:v>
      </x:c>
      <x:c r="I119" s="23" t="str">
        <x:v>unclear</x:v>
      </x:c>
      <x:c r="J119" s="23" t="str">
        <x:v>positioning</x:v>
      </x:c>
      <x:c r="K119" s="50" t="str">
        <x:v>AAOI가 포트폴리오의 큰 비중을 차지함</x:v>
      </x:c>
      <x:c r="L119" s="50" t="str">
        <x:v>@ontrialperiod when global and US markets crash off misinformation and out of context quotes from $META. I probably want to clear that up?
That thing said, $AAOI, $SIVE, and $CCXI do make up large concentration in my portfolio.</x:v>
      </x:c>
      <x:c r="M119" s="65" t="str">
        <x:v>https://x.com/aleabitoreddit/status/2072925550608523738</x:v>
      </x:c>
      <x:c r="N119" s="23" t="str">
        <x:v>제외</x:v>
      </x:c>
    </x:row>
    <x:row r="120" ht="60" customHeight="1">
      <x:c r="A120" s="23" t="n">
        <x:v>995</x:v>
      </x:c>
      <x:c r="B120" s="23" t="str">
        <x:v>NVDA</x:v>
      </x:c>
      <x:c r="C120" s="53" t="n">
        <x:v>46206.26329861111</x:v>
      </x:c>
      <x:c r="D120" s="23" t="str">
        <x:v>aleabitoreddit</x:v>
      </x:c>
      <x:c r="E120" s="23" t="str">
        <x:v>bullish</x:v>
      </x:c>
      <x:c r="F120" s="34" t="n">
        <x:v>0.7</x:v>
      </x:c>
      <x:c r="G120" s="23" t="str">
        <x:v>needs_review</x:v>
      </x:c>
      <x:c r="H120" s="23" t="str">
        <x:v>stance</x:v>
      </x:c>
      <x:c r="I120" s="23" t="str">
        <x:v>first_mention</x:v>
      </x:c>
      <x:c r="J120" s="23" t="str">
        <x:v>catalyst</x:v>
      </x:c>
      <x:c r="K120" s="50" t="str">
        <x:v>Semianalysis의 CPO 지연 보고를 NVDA가 반박하여 시장 오해를 바로잡음.</x:v>
      </x:c>
      <x:c r="L120" s="50" t="str">
        <x:v>@softmaxedx I blame Semianalysis for crashing the entire photonics market for misleading CPO delay reporting that $NVDA refuted.
Alongside global journal $META recent misleading reporting…
But I think they realized everything was crashing along with it, so they needed a macro bull post.</x:v>
      </x:c>
      <x:c r="M120" s="65" t="str">
        <x:v>https://x.com/aleabitoreddit/status/2072928111495376922</x:v>
      </x:c>
      <x:c r="N120" s="23" t="str">
        <x:v>제외</x:v>
      </x:c>
    </x:row>
    <x:row r="121" ht="60" customHeight="1">
      <x:c r="A121" s="23" t="n">
        <x:v>994</x:v>
      </x:c>
      <x:c r="B121" s="23" t="str">
        <x:v>NVDA</x:v>
      </x:c>
      <x:c r="C121" s="53" t="n">
        <x:v>46206.286886574075</x:v>
      </x:c>
      <x:c r="D121" s="23" t="str">
        <x:v>aleabitoreddit</x:v>
      </x:c>
      <x:c r="E121" s="23" t="str">
        <x:v>bullish</x:v>
      </x:c>
      <x:c r="F121" s="34" t="n">
        <x:v>0.6</x:v>
      </x:c>
      <x:c r="G121" s="23" t="str">
        <x:v>needs_review</x:v>
      </x:c>
      <x:c r="H121" s="23" t="str">
        <x:v>stance</x:v>
      </x:c>
      <x:c r="I121" s="23" t="str">
        <x:v>first_mention</x:v>
      </x:c>
      <x:c r="J121" s="23" t="str">
        <x:v>catalyst</x:v>
      </x:c>
      <x:c r="K121" s="50" t="str">
        <x:v>SemiAnalysis의 비판적 보고서를 NVDA가 반박하며 긍정적 입장을 보임.</x:v>
      </x:c>
      <x:c r="L121" s="50" t="str">
        <x:v>Be SemiAnalysis:
- Post a scathing piece on CPO delays + optical company valuations, causing a crash.
Which $NVDA, analyst desks, and major optical companies refuted
- Launch an institutional photonics ETF after optical names dropped 40-60%.</x:v>
      </x:c>
      <x:c r="M121" s="65" t="str">
        <x:v>https://x.com/aleabitoreddit/status/2072936659369517341</x:v>
      </x:c>
      <x:c r="N121" s="23" t="str">
        <x:v>제외</x:v>
      </x:c>
    </x:row>
    <x:row r="122" ht="60" customHeight="1">
      <x:c r="A122" s="23" t="n">
        <x:v>1000</x:v>
      </x:c>
      <x:c r="B122" s="23" t="str">
        <x:v>LITE</x:v>
      </x:c>
      <x:c r="C122" s="53" t="n">
        <x:v>46206.6805787037</x:v>
      </x:c>
      <x:c r="D122" s="23" t="str">
        <x:v>aleabitoreddit</x:v>
      </x:c>
      <x:c r="E122" s="23" t="str">
        <x:v>bearish</x:v>
      </x:c>
      <x:c r="F122" s="34" t="n">
        <x:v>0.8</x:v>
      </x:c>
      <x:c r="G122" s="23" t="str">
        <x:v>auto</x:v>
      </x:c>
      <x:c r="H122" s="23"/>
      <x:c r="I122" s="23" t="str">
        <x:v>first_mention</x:v>
      </x:c>
      <x:c r="J122" s="23" t="str">
        <x:v>other</x:v>
      </x:c>
      <x:c r="K122" s="50" t="str">
        <x:v>작성자가 약세 보고서를 낸 후 주가 하락 시 매수하는 전략을 사용함</x:v>
      </x:c>
      <x:c r="L122" s="50" t="str">
        <x:v>@256_rc -&amp;gt; Writes bearish report, specifically calling out $HIMX and $LITE
-&amp;gt; Proceeds to add $HIMX and $LITE their actively managed ETF after they drop -25-40%. 
op strategy.</x:v>
      </x:c>
      <x:c r="M122" s="65" t="str">
        <x:v>https://x.com/aleabitoreddit/status/2073079326862672205</x:v>
      </x:c>
      <x:c r="N122" s="23" t="str">
        <x:v>vote 변경</x:v>
      </x:c>
    </x:row>
    <x:row r="123" ht="60" customHeight="1">
      <x:c r="A123" s="23" t="n">
        <x:v>1004</x:v>
      </x:c>
      <x:c r="B123" s="23" t="str">
        <x:v>LITE</x:v>
      </x:c>
      <x:c r="C123" s="53" t="n">
        <x:v>46207.75171296296</x:v>
      </x:c>
      <x:c r="D123" s="23" t="str">
        <x:v>aleabitoreddit</x:v>
      </x:c>
      <x:c r="E123" s="23" t="str">
        <x:v>bullish</x:v>
      </x:c>
      <x:c r="F123" s="34" t="n">
        <x:v>0.7</x:v>
      </x:c>
      <x:c r="G123" s="23" t="str">
        <x:v>needs_review</x:v>
      </x:c>
      <x:c r="H123" s="23" t="str">
        <x:v>stance</x:v>
      </x:c>
      <x:c r="I123" s="23" t="str">
        <x:v>first_mention</x:v>
      </x:c>
      <x:c r="J123" s="23" t="str">
        <x:v>catalyst</x:v>
      </x:c>
      <x:c r="K123" s="50" t="str">
        <x:v>SemiAnalysis의 부정적 보고서로 주가 하락 후, 동일 기관이 공동 출시한 ETF에 편입되어 매수됨.</x:v>
      </x:c>
      <x:c r="L123" s="50" t="str">
        <x:v>UDN Money report "殺翻光通訊後 SemiAnalysis 惹議 業界揭其劣跡 許多公司慘遭魔手":
- SemiAnalysis, released a report in June, questioning the timing of the launch of the CPO on the grounds of low yield and delay, which caused the photonics sector to collapse. 
- The agency then partnered with Tema to launch a photonics ETF. 
- The shares held in the ETF under the trading code LAZR happened to be the photonics stocks that were mentioned negatively in the report
$HIMX and $LITE, which were specifically targeted negatively in their article "Powered Down, Lights Off", have been bought in Semianalysis and Tema's new ETF after the optical sector crash.</x:v>
      </x:c>
      <x:c r="M123" s="65" t="str">
        <x:v>https://x.com/aleabitoreddit/status/2073467493998555192</x:v>
      </x:c>
      <x:c r="N123" s="23" t="str">
        <x:v>제외</x:v>
      </x:c>
    </x:row>
    <x:row r="124" ht="60" customHeight="1">
      <x:c r="A124" s="23" t="n">
        <x:v>1060</x:v>
      </x:c>
      <x:c r="B124" s="23" t="str">
        <x:v>AAOI</x:v>
      </x:c>
      <x:c r="C124" s="53" t="n">
        <x:v>46209.64283564815</x:v>
      </x:c>
      <x:c r="D124" s="23" t="str">
        <x:v>aleabitoreddit</x:v>
      </x:c>
      <x:c r="E124" s="23" t="str">
        <x:v>bullish</x:v>
      </x:c>
      <x:c r="F124" s="34" t="n">
        <x:v>0.8</x:v>
      </x:c>
      <x:c r="G124" s="23" t="str">
        <x:v>auto</x:v>
      </x:c>
      <x:c r="H124" s="23"/>
      <x:c r="I124" s="23" t="str">
        <x:v>first_mention</x:v>
      </x:c>
      <x:c r="J124" s="23" t="str">
        <x:v>positioning</x:v>
      </x:c>
      <x:c r="K124" s="50" t="str">
        <x:v>AAOI에 대한 집중 포지션을 보유하고 있으며, 하락에도 불구하고 향후 전망에 대해 확신을 가지고 있음.</x:v>
      </x:c>
      <x:c r="L124" s="50" t="str">
        <x:v>I have large concentration in $SIVE to $AAOI as well. Feels bad to suffer drawdowns from institutional photonics delay bear posts. 
Just for the same firm to include it in their ETFs at the bottom. 
NFA, but I’m especially confident about those two going forward despite the drop</x:v>
      </x:c>
      <x:c r="M124" s="65" t="str">
        <x:v>https://x.com/aleabitoreddit/status/2074152813958152688</x:v>
      </x:c>
      <x:c r="N124" s="23" t="str">
        <x:v>vote 변경</x:v>
      </x:c>
    </x:row>
    <x:row r="125" ht="60" customHeight="1">
      <x:c r="A125" s="23" t="n">
        <x:v>1058</x:v>
      </x:c>
      <x:c r="B125" s="23" t="str">
        <x:v>NVDA</x:v>
      </x:c>
      <x:c r="C125" s="53" t="n">
        <x:v>46209.69079861111</x:v>
      </x:c>
      <x:c r="D125" s="23" t="str">
        <x:v>aleabitoreddit</x:v>
      </x:c>
      <x:c r="E125" s="23" t="str">
        <x:v>neutral</x:v>
      </x:c>
      <x:c r="F125" s="34" t="n">
        <x:v>0.8</x:v>
      </x:c>
      <x:c r="G125" s="23" t="str">
        <x:v>auto</x:v>
      </x:c>
      <x:c r="H125" s="23"/>
      <x:c r="I125" s="23" t="str">
        <x:v>first_mention</x:v>
      </x:c>
      <x:c r="J125" s="23" t="str">
        <x:v>catalyst</x:v>
      </x:c>
      <x:c r="K125" s="50" t="str">
        <x:v>Kyber 지연설을 부인했지만, 이미 주가 하락이 발생하여 손실이 발생함.</x:v>
      </x:c>
      <x:c r="L125" s="50" t="str">
        <x:v>$NVDA refuting recent Kyber delay claims:
“Our roadmap is intact”.
lol, damage has already been done with stocks in many markets (esp. in Taiwan/Japan/Soutj Korea) crashing after the “report” https://t.co/ijHggRm1fu</x:v>
      </x:c>
      <x:c r="M125" s="65" t="str">
        <x:v>https://x.com/aleabitoreddit/status/2074170197486039524</x:v>
      </x:c>
      <x:c r="N125" s="23" t="str">
        <x:v>근거만</x:v>
      </x:c>
    </x:row>
    <x:row r="126" ht="60" customHeight="1">
      <x:c r="A126" s="23" t="n">
        <x:v>1071</x:v>
      </x:c>
      <x:c r="B126" s="23" t="str">
        <x:v>LITE</x:v>
      </x:c>
      <x:c r="C126" s="53" t="n">
        <x:v>46209.88483796296</x:v>
      </x:c>
      <x:c r="D126" s="23" t="str">
        <x:v>aleabitoreddit</x:v>
      </x:c>
      <x:c r="E126" s="23" t="str">
        <x:v>bullish</x:v>
      </x:c>
      <x:c r="F126" s="34" t="n">
        <x:v>0.9</x:v>
      </x:c>
      <x:c r="G126" s="23" t="str">
        <x:v>auto</x:v>
      </x:c>
      <x:c r="H126" s="23"/>
      <x:c r="I126" s="23" t="str">
        <x:v>repeat</x:v>
      </x:c>
      <x:c r="J126" s="23" t="str">
        <x:v>catalyst</x:v>
      </x:c>
      <x:c r="K126" s="50" t="str">
        <x:v>광학 부품 병목 현상이 2029년까지 지속되며, 생산되는 모든 제품이 판매되는 상황</x:v>
      </x:c>
      <x:c r="L126" s="50" t="str">
        <x:v>Was a sad few months for $RDDT. But glad it's finally back above $200. 
Reddit was doing:
- $663M revenue w/ 91.5% gross margins
- $204M GAAP net income
- 45%+ fwd Y/Y growth after 69%+ growth.
- Net profit is ~30.7% of revenue
Felt very weird to see a profitable company get dragged down after earnings. 
But in hindsight, given the increase hyperscaler capex, the drop felt more like it's more relative opportunity cost more than fundamentals?
Since a lot of inflow poured into $MU / Sk Hynix that are bottlenecked into 2029. Or with laser bottlenecks like $LITE that last into 2029 as well. 
Same thing happens in reverse after selloffs ig, even if fundamentals didn't change. 
Been seeing a lot of noise with memory optimization or Chinese players... but don't quite think you sign 16T+ LTAs if memory was getting flooded or not used anytime soon. 
Same with optical players... if in earnings, they state anything they make gets bought, I don't quite think a lot of the noise has material effect on their fundamentals. 
Regardless, nice to see some recovery with familiar faces like $HOOD, $HIMS, and $RDDT though.</x:v>
      </x:c>
      <x:c r="M126" s="65" t="str">
        <x:v>https://x.com/aleabitoreddit/status/2074240512593481955</x:v>
      </x:c>
      <x:c r="N126" s="23" t="str">
        <x:v>vote 변경</x:v>
      </x:c>
    </x:row>
    <x:row r="127" ht="60" customHeight="1">
      <x:c r="A127" s="23" t="n">
        <x:v>1076</x:v>
      </x:c>
      <x:c r="B127" s="23" t="str">
        <x:v>NVDA</x:v>
      </x:c>
      <x:c r="C127" s="53" t="n">
        <x:v>46210.340729166666</x:v>
      </x:c>
      <x:c r="D127" s="23" t="str">
        <x:v>aleabitoreddit</x:v>
      </x:c>
      <x:c r="E127" s="23" t="str">
        <x:v>bullish</x:v>
      </x:c>
      <x:c r="F127" s="34" t="n">
        <x:v>0.9</x:v>
      </x:c>
      <x:c r="G127" s="23" t="str">
        <x:v>auto</x:v>
      </x:c>
      <x:c r="H127" s="23"/>
      <x:c r="I127" s="23" t="str">
        <x:v>first_mention</x:v>
      </x:c>
      <x:c r="J127" s="23" t="str">
        <x:v>thesis</x:v>
      </x:c>
      <x:c r="K127" s="50" t="str">
        <x:v>NVDA에 대한 CPO 지연 보고는 NVDA 자체에 의해 반박되었으며, 이에 따른 매도는 근거가 부족하다.</x:v>
      </x:c>
      <x:c r="L127" s="50" t="str">
        <x:v>One of the dumbest thematic selloffs I’ve seen to to date off:
- $META compute news that’s not new
- CPO delay report 1, that got refuted by $NVDA
- CPO delay report 2, that got refuted by $NVDA
High confidence, institutions will end up going long on the same names they’re bearposting after retail capitulates.</x:v>
      </x:c>
      <x:c r="M127" s="65" t="str">
        <x:v>https://x.com/aleabitoreddit/status/2074405723816304743</x:v>
      </x:c>
      <x:c r="N127" s="23" t="str">
        <x:v>vote 변경</x:v>
      </x:c>
    </x:row>
    <x:row r="128" ht="60" customHeight="1">
      <x:c r="A128" s="23" t="n">
        <x:v>17</x:v>
      </x:c>
      <x:c r="B128" s="23" t="str">
        <x:v>ASTS</x:v>
      </x:c>
      <x:c r="C128" s="53" t="n">
        <x:v>46211.5346875</x:v>
      </x:c>
      <x:c r="D128" s="23" t="str">
        <x:v>aleabitoreddit</x:v>
      </x:c>
      <x:c r="E128" s="23" t="str">
        <x:v>bullish</x:v>
      </x:c>
      <x:c r="F128" s="34" t="n">
        <x:v>0.8</x:v>
      </x:c>
      <x:c r="G128" s="23" t="str">
        <x:v>auto</x:v>
      </x:c>
      <x:c r="H128" s="23"/>
      <x:c r="I128" s="23" t="str">
        <x:v>first_mention</x:v>
      </x:c>
      <x:c r="J128" s="23" t="str">
        <x:v>valuation</x:v>
      </x:c>
      <x:c r="K128" s="50" t="str">
        <x:v>블루 오리진의 높은 평가액이 ASTS의 상대적 가치 평가에 긍정적 기준을 제공</x:v>
      </x:c>
      <x:c r="L128" s="50" t="str">
        <x:v>Blue Origin reportedly raising $10B at a $130B valuation per NYT.
Seems pretty positive for $RKLB, $ASTS, and other space names in terms of relative valuation anchoring. 
If SpaceX and Blue Origin is able to set such high valuations. https://t.co/04W7phuIwr</x:v>
      </x:c>
      <x:c r="M128" s="65" t="str">
        <x:v>https://x.com/aleabitoreddit/status/2074838397341065516</x:v>
      </x:c>
      <x:c r="N128" s="23" t="str">
        <x:v>vote 변경</x:v>
      </x:c>
    </x:row>
    <x:row r="129" ht="60" customHeight="1">
      <x:c r="A129" s="23" t="n">
        <x:v>24</x:v>
      </x:c>
      <x:c r="B129" s="23" t="str">
        <x:v>ASTS</x:v>
      </x:c>
      <x:c r="C129" s="53" t="n">
        <x:v>46211.54935185185</x:v>
      </x:c>
      <x:c r="D129" s="23" t="str">
        <x:v>aleabitoreddit</x:v>
      </x:c>
      <x:c r="E129" s="23" t="str">
        <x:v>mixed</x:v>
      </x:c>
      <x:c r="F129" s="34" t="n">
        <x:v>0.8</x:v>
      </x:c>
      <x:c r="G129" s="23" t="str">
        <x:v>auto</x:v>
      </x:c>
      <x:c r="H129" s="23"/>
      <x:c r="I129" s="23" t="str">
        <x:v>unclear</x:v>
      </x:c>
      <x:c r="J129" s="23" t="str">
        <x:v>positioning</x:v>
      </x:c>
      <x:c r="K129" s="50" t="str">
        <x:v>장기적으로는 좋지만 기회비용 때문에 단기적으로는 부진할 수 있다.</x:v>
      </x:c>
      <x:c r="L129" s="50" t="str">
        <x:v>@lucas_SPACs idk Spacemob hasn't been doing too well over the past year compared to bottleneck bros. 
I think it's mainly just opportunity cost, even if I like $ASTS long term. https://t.co/UQZQcpXkN2</x:v>
      </x:c>
      <x:c r="M129" s="65" t="str">
        <x:v>https://x.com/aleabitoreddit/status/2074843710806978606</x:v>
      </x:c>
      <x:c r="N129" s="23" t="str">
        <x:v>근거만</x:v>
      </x:c>
    </x:row>
    <x:row r="130" ht="60" customHeight="1">
      <x:c r="A130" s="23" t="n">
        <x:v>44</x:v>
      </x:c>
      <x:c r="B130" s="23" t="str">
        <x:v>LITE</x:v>
      </x:c>
      <x:c r="C130" s="53" t="n">
        <x:v>46213.349641203706</x:v>
      </x:c>
      <x:c r="D130" s="23" t="str">
        <x:v>aleabitoreddit</x:v>
      </x:c>
      <x:c r="E130" s="23" t="str">
        <x:v>bullish</x:v>
      </x:c>
      <x:c r="F130" s="34" t="n">
        <x:v>0.9</x:v>
      </x:c>
      <x:c r="G130" s="23" t="str">
        <x:v>auto</x:v>
      </x:c>
      <x:c r="H130" s="23"/>
      <x:c r="I130" s="23" t="str">
        <x:v>repeat</x:v>
      </x:c>
      <x:c r="J130" s="23" t="str">
        <x:v>thesis</x:v>
      </x:c>
      <x:c r="K130" s="50" t="str">
        <x:v>LITE는 향후 2년간 완전히 매진되었으며 2029년까지도 그럴 가능성이 높다.</x:v>
      </x:c>
      <x:c r="L130" s="50" t="str">
        <x:v>Yep, it’s interesting to witness retail capitulation.
After we got Bloomberg Meta compute article cleared up by their internal memo. 
And the 2 reports on delays were denied by Nvidia. 
Both of which caused the selloff in the first place...
So Photonics / Nvidia’s roadmap hasn’t fundamentally changed:
$LITE is still completely sold out for the next 2 years and likely into 2029.
$SIVE is about to volume ramp with  GlobalFoundries, Jabil, Poet, Ayar, and other hyperscaler suppliers.
$TSM COUPE and their TW suppliers from Shunsin to Foci aren’t randomly disappearing into the void.
$AAOI and their $471m/month h2 2027 revenue projections haven’t changed.
$IQE and their epiwafer contracts with Macom and Tower Semi haven’t disappeared.
$AXTI ownership of 40% of the InP substrate supply chains haven’t suddenly disappeared.
As with any theme from Rocketlab + Space sector 50% drop back in 2025. 
Or Nebius + Neocloud 50% drop entering 2026.
Or the Samsung/SK Hynix crash from Iran War LNG/Helium/Oil fears few months ago.
Volatility from indiscriminate thematic selloffs isn’t typically representative of individual company fundamentals.
Retail tends to build conviction over price movements and imaginary charts, then lose that when a stock drops.
And institutions are probably placing limit orders to capitalize on that.
Conviction shouldn’t be tied to the quote of a stock on a certain day, but long term revenue or operating income growth.</x:v>
      </x:c>
      <x:c r="M130" s="65" t="str">
        <x:v>https://x.com/aleabitoreddit/status/2075496116481884524</x:v>
      </x:c>
      <x:c r="N130" s="23" t="str">
        <x:v>vote 변경</x:v>
      </x:c>
    </x:row>
    <x:row r="131" ht="60" customHeight="1">
      <x:c r="A131" s="23" t="n">
        <x:v>47</x:v>
      </x:c>
      <x:c r="B131" s="23" t="str">
        <x:v>AAOI</x:v>
      </x:c>
      <x:c r="C131" s="53" t="n">
        <x:v>46213.349641203706</x:v>
      </x:c>
      <x:c r="D131" s="23" t="str">
        <x:v>aleabitoreddit</x:v>
      </x:c>
      <x:c r="E131" s="23" t="str">
        <x:v>bullish</x:v>
      </x:c>
      <x:c r="F131" s="34" t="n">
        <x:v>0.9</x:v>
      </x:c>
      <x:c r="G131" s="23" t="str">
        <x:v>auto</x:v>
      </x:c>
      <x:c r="H131" s="23"/>
      <x:c r="I131" s="23" t="str">
        <x:v>repeat</x:v>
      </x:c>
      <x:c r="J131" s="23" t="str">
        <x:v>growth</x:v>
      </x:c>
      <x:c r="K131" s="50" t="str">
        <x:v>AAOI의 2027년 하반기 월 4억 7100만 달러 매출 전망은 변하지 않았다.</x:v>
      </x:c>
      <x:c r="L131" s="50" t="str">
        <x:v>Yep, it’s interesting to witness retail capitulation.
After we got Bloomberg Meta compute article cleared up by their internal memo. 
And the 2 reports on delays were denied by Nvidia. 
Both of which caused the selloff in the first place...
So Photonics / Nvidia’s roadmap hasn’t fundamentally changed:
$LITE is still completely sold out for the next 2 years and likely into 2029.
$SIVE is about to volume ramp with  GlobalFoundries, Jabil, Poet, Ayar, and other hyperscaler suppliers.
$TSM COUPE and their TW suppliers from Shunsin to Foci aren’t randomly disappearing into the void.
$AAOI and their $471m/month h2 2027 revenue projections haven’t changed.
$IQE and their epiwafer contracts with Macom and Tower Semi haven’t disappeared.
$AXTI ownership of 40% of the InP substrate supply chains haven’t suddenly disappeared.
As with any theme from Rocketlab + Space sector 50% drop back in 2025. 
Or Nebius + Neocloud 50% drop entering 2026.
Or the Samsung/SK Hynix crash from Iran War LNG/Helium/Oil fears few months ago.
Volatility from indiscriminate thematic selloffs isn’t typically representative of individual company fundamentals.
Retail tends to build conviction over price movements and imaginary charts, then lose that when a stock drops.
And institutions are probably placing limit orders to capitalize on that.
Conviction shouldn’t be tied to the quote of a stock on a certain day, but long term revenue or operating income growth.</x:v>
      </x:c>
      <x:c r="M131" s="65" t="str">
        <x:v>https://x.com/aleabitoreddit/status/2075496116481884524</x:v>
      </x:c>
      <x:c r="N131" s="23" t="str">
        <x:v>vote 변경</x:v>
      </x:c>
    </x:row>
    <x:row r="132" ht="60" customHeight="1">
      <x:c r="A132" s="23" t="n">
        <x:v>50</x:v>
      </x:c>
      <x:c r="B132" s="23" t="str">
        <x:v>AAOI</x:v>
      </x:c>
      <x:c r="C132" s="53" t="n">
        <x:v>46213.47771990741</x:v>
      </x:c>
      <x:c r="D132" s="23" t="str">
        <x:v>aleabitoreddit</x:v>
      </x:c>
      <x:c r="E132" s="23" t="str">
        <x:v>bullish</x:v>
      </x:c>
      <x:c r="F132" s="34" t="n">
        <x:v>0.7</x:v>
      </x:c>
      <x:c r="G132" s="23" t="str">
        <x:v>needs_review</x:v>
      </x:c>
      <x:c r="H132" s="23" t="str">
        <x:v>stance</x:v>
      </x:c>
      <x:c r="I132" s="23" t="str">
        <x:v>first_mention</x:v>
      </x:c>
      <x:c r="J132" s="23" t="str">
        <x:v>technical</x:v>
      </x:c>
      <x:c r="K132" s="50" t="str">
        <x:v>차트에서 'Sleeping King' 지표가 형성되었으며, 왕이 깨어나면 급등할 가능성이 있음.</x:v>
      </x:c>
      <x:c r="L132" s="50" t="str">
        <x:v>@UNICONTSLA On the $AAOI chart, we're able to see the "Sleeping King" indicator. 
You can see the crown form from the chopping patterns. 
But once the king wakes up from their nap... chart fundamentals expect a royal decree. https://t.co/YQTSgpPMnR</x:v>
      </x:c>
      <x:c r="M132" s="65" t="str">
        <x:v>https://x.com/aleabitoreddit/status/2075542529467154838</x:v>
      </x:c>
      <x:c r="N132" s="23" t="str">
        <x:v>제외</x:v>
      </x:c>
    </x:row>
    <x:row r="133" ht="60" customHeight="1">
      <x:c r="A133" s="23" t="n">
        <x:v>156</x:v>
      </x:c>
      <x:c r="B133" s="23" t="str">
        <x:v>NVDA</x:v>
      </x:c>
      <x:c r="C133" s="53" t="n">
        <x:v>46216.03140046296</x:v>
      </x:c>
      <x:c r="D133" s="23" t="str">
        <x:v>aleabitoreddit</x:v>
      </x:c>
      <x:c r="E133" s="23" t="str">
        <x:v>bearish</x:v>
      </x:c>
      <x:c r="F133" s="34" t="n">
        <x:v>0.7</x:v>
      </x:c>
      <x:c r="G133" s="23" t="str">
        <x:v>needs_review</x:v>
      </x:c>
      <x:c r="H133" s="23" t="str">
        <x:v>stance</x:v>
      </x:c>
      <x:c r="I133" s="23" t="str">
        <x:v>first_mention</x:v>
      </x:c>
      <x:c r="J133" s="23" t="str">
        <x:v>risk</x:v>
      </x:c>
      <x:c r="K133" s="50" t="str">
        <x:v>DeepSeek과 Zhipu가 맞춤형 ASIC을 개발하여 NVDA를 우회하려 함.</x:v>
      </x:c>
      <x:c r="L133" s="50" t="str">
        <x:v>Just a semi recap TLDR:
- $GLW glass bridge per Morgan Stanley has potential, but hard to displace FAU (like FOCI) in short term
- $SPCX Starlink Gen 3 is scaling to 100,000 units (10x prev gen) creating possible capacity constraints for suppliers of switches to CCL.
- PCB supply shortages are projected to persist until 2028, and component shortages/price hikes are already forcing ODMs like Inventec to issue  conservative H2 shipment
- DeepSeek and Zhipu are developing custom ASICs to bypass $NVDA (kinda expected by now). 
- Anthropic has achieved a $30B ARR and is projected to hit &gt;$1B in Q3 profit. Turns out these frontier labs are more profitable than people think. 
- US admin pressured $AAPL to source from $INTC, in exchange for tariff exception. Kinda pressuring alignment away from TSM.  
- $TSM plans a 30x expansion of its Photonic Integrated Circuit (PIC)  capacity by 2028, growing from 500 to 25,000 wafers per month
- Hanmi Semiconductor is entering the CoWoS packaging equipment market
- $NVDA and NTT hosting a conference July 24th to discuss CPO strategies. 
- 5x general NAND flash price hike this year, market size $489B by next year triggered by RAG/inference. Samsung and SK Hynix make emergency fab investments, NAND equipment suppliers go brrrr.  
- Gas turbine bottleneck, 40% supply gap accompanied by staggering 5-year delivery cycles (mega-fabs need them for mass production).
- AI probe card assembly has hit a severe bottleneck apparently. Which is attempted to by solved with things like Innovation Service's machines. 
- Nanya, 79.5% gross margins reported, memory go brr. 4x capex for capacity/advanced packaging. 
- CXMT's STAR Market IPO on July 16, so should bring a lot of attention to memory players in that supply chain. 
- KYEC $1.4B investment into US for $TSM Arizona output test facilities. Lot of these players like $AMKR and others should go brr in 2028.
- $INTC CEO warned last month that helium could hinder the manufacturing costs and delivery times of AI chips
- 3D NAND word lines are shifting from Tungsten to Molybdenum starting at the 375-layer node
- SambaNova secured JPM for AI inference and raised $1B at an $11B valuation.
- HBM prices projections to double in 2027 as $NVDA Rubin platform drives demand.
- $MU provides $500 million in funding to support GlobalWafers' US manufacturing capacity 
- $META 'Iris' will enter mass production in September  via $AVGO and TSMC and Meta aims to double computing power to 14GW by 2027.
- Largan Precision has secured its first CPO FAU order, mass production slated for middle of next year (kinda indication around Foci and others). 
- Samsung and SK Hynix have delayed the implementation of hybrid bonding packaging technology for HBM4 apparently 
- Memory costs (DRAM/NAND) have reached 60% of the BOM for sub-$400 smartphones, causing a severe volume contraction.
- SK Hynix successfully rasied $26.5 billion through a Nasdaq ADR
- $TSLA issued procurement guidelines requiring suppliers to reach weekly production of 1,000 units by September and double to 2,000-2,500 by year end for its 3rd gen Optimus robot. Apparently Alliance Technology and A-Link may be in this supply chain harmonic reducers and vision lenses?
Kinda go through all this stuff every day, but don't wanna be a news reporter so just consolidated stuff I found interesting.</x:v>
      </x:c>
      <x:c r="M133" s="65" t="str">
        <x:v>https://x.com/aleabitoreddit/status/2076467953995071881</x:v>
      </x:c>
      <x:c r="N133" s="23" t="str">
        <x:v>제외</x:v>
      </x:c>
    </x:row>
    <x:row r="134" ht="60" customHeight="1">
      <x:c r="A134" s="23" t="n">
        <x:v>1179</x:v>
      </x:c>
      <x:c r="B134" s="23" t="str">
        <x:v>NVDA</x:v>
      </x:c>
      <x:c r="C134" s="53" t="n">
        <x:v>46216.66422453704</x:v>
      </x:c>
      <x:c r="D134" s="23" t="str">
        <x:v>Beth_Kindig</x:v>
      </x:c>
      <x:c r="E134" s="23" t="str">
        <x:v>bullish</x:v>
      </x:c>
      <x:c r="F134" s="34" t="n">
        <x:v>0.8</x:v>
      </x:c>
      <x:c r="G134" s="23" t="str">
        <x:v>auto</x:v>
      </x:c>
      <x:c r="H134" s="23"/>
      <x:c r="I134" s="23" t="str">
        <x:v>first_mention</x:v>
      </x:c>
      <x:c r="J134" s="23" t="str">
        <x:v>growth</x:v>
      </x:c>
      <x:c r="K134" s="50" t="str">
        <x:v>Vera Rubin과 Groq 3 LPX 랙 조합이 Blackwell 대비 AI 팩토리 수익 기회를 최대 10배 창출할 수 있다.</x:v>
      </x:c>
      <x:c r="L134" s="50" t="str">
        <x:v>Nvidia $NVDA says a Vera Rubin NVL72 rack paired with a Groq 3 LPX rack can deliver up to 35X higher token throughput per MW, creating up to a 10X revenue opportunity for AI factories versus Blackwell. 
Meanwhile, acquiring 1 TB of HBM through Blackwell GPUs costs more than 5X as much as adding 1 TB of DDR5.  
The I/O Fund’s latest two-part analysis breaks down why offload engines may become a key solution for scaling memory independently of GPUs. 
https://t.co/uPYR85mgXx</x:v>
      </x:c>
      <x:c r="M134" s="65" t="str">
        <x:v>https://x.com/Beth_Kindig/status/2076697280443261185</x:v>
      </x:c>
      <x:c r="N134" s="23" t="str">
        <x:v>vote 변경</x:v>
      </x:c>
    </x:row>
    <x:row r="135" ht="60" customHeight="1">
      <x:c r="A135" s="23" t="n">
        <x:v>74</x:v>
      </x:c>
      <x:c r="B135" s="23" t="str">
        <x:v>COHR</x:v>
      </x:c>
      <x:c r="C135" s="53" t="n">
        <x:v>46216.80608796296</x:v>
      </x:c>
      <x:c r="D135" s="23" t="str">
        <x:v>aleabitoreddit</x:v>
      </x:c>
      <x:c r="E135" s="23" t="str">
        <x:v>bullish</x:v>
      </x:c>
      <x:c r="F135" s="34" t="n">
        <x:v>0.7</x:v>
      </x:c>
      <x:c r="G135" s="23" t="str">
        <x:v>needs_review</x:v>
      </x:c>
      <x:c r="H135" s="23" t="str">
        <x:v>stance</x:v>
      </x:c>
      <x:c r="I135" s="23" t="str">
        <x:v>repeat</x:v>
      </x:c>
      <x:c r="J135" s="23" t="str">
        <x:v>thesis</x:v>
      </x:c>
      <x:c r="K135" s="50" t="str">
        <x:v>COHR은 CPO 레이저 공급의 주요 업체 중 하나로, 서방 3대 리더에 포함됨.</x:v>
      </x:c>
      <x:c r="L135" s="50" t="str">
        <x:v>Morgan Stanley note on CPO today. Key participants include:
- $SIVE, $COHR, and $LITE in laser supply
- Broadcom and Nvidia in switch platforms
- Lightmatter, Ayar Labs, Marvell/Celestial, and POET in optical engines and photonics, 
- $TSM, $GFS, and $TSEM in silicon photonics foundry capacity
I’ve covered all of these before, like Tower Semi. 
But I’m especially happy that Morgan Stanley validated my research that $SIVE is one of the critical global players in CPO.
A small $1.5B laser company next to your two leading $60B+ companies…
If you also synthesize Rosenblatt Securities recent note that China laser suppliers were quite far from having CPO lasers.
This kinda magnifies importance of the three Western leaders of that laser chokepoint.</x:v>
      </x:c>
      <x:c r="M135" s="65" t="str">
        <x:v>https://x.com/aleabitoreddit/status/2076748688559587338</x:v>
      </x:c>
      <x:c r="N135" s="23" t="str">
        <x:v>제외</x:v>
      </x:c>
    </x:row>
    <x:row r="136" ht="60" customHeight="1">
      <x:c r="A136" s="23" t="n">
        <x:v>75</x:v>
      </x:c>
      <x:c r="B136" s="23" t="str">
        <x:v>LITE</x:v>
      </x:c>
      <x:c r="C136" s="53" t="n">
        <x:v>46216.80608796296</x:v>
      </x:c>
      <x:c r="D136" s="23" t="str">
        <x:v>aleabitoreddit</x:v>
      </x:c>
      <x:c r="E136" s="23" t="str">
        <x:v>bullish</x:v>
      </x:c>
      <x:c r="F136" s="34" t="n">
        <x:v>0.7</x:v>
      </x:c>
      <x:c r="G136" s="23" t="str">
        <x:v>needs_review</x:v>
      </x:c>
      <x:c r="H136" s="23" t="str">
        <x:v>stance</x:v>
      </x:c>
      <x:c r="I136" s="23" t="str">
        <x:v>repeat</x:v>
      </x:c>
      <x:c r="J136" s="23" t="str">
        <x:v>thesis</x:v>
      </x:c>
      <x:c r="K136" s="50" t="str">
        <x:v>LITE는 CPO 레이저 공급의 주요 업체 중 하나로, 서방 3대 리더에 포함됨.</x:v>
      </x:c>
      <x:c r="L136" s="50" t="str">
        <x:v>Morgan Stanley note on CPO today. Key participants include:
- $SIVE, $COHR, and $LITE in laser supply
- Broadcom and Nvidia in switch platforms
- Lightmatter, Ayar Labs, Marvell/Celestial, and POET in optical engines and photonics, 
- $TSM, $GFS, and $TSEM in silicon photonics foundry capacity
I’ve covered all of these before, like Tower Semi. 
But I’m especially happy that Morgan Stanley validated my research that $SIVE is one of the critical global players in CPO.
A small $1.5B laser company next to your two leading $60B+ companies…
If you also synthesize Rosenblatt Securities recent note that China laser suppliers were quite far from having CPO lasers.
This kinda magnifies importance of the three Western leaders of that laser chokepoint.</x:v>
      </x:c>
      <x:c r="M136" s="65" t="str">
        <x:v>https://x.com/aleabitoreddit/status/2076748688559587338</x:v>
      </x:c>
      <x:c r="N136" s="23" t="str">
        <x:v>제외</x:v>
      </x:c>
    </x:row>
    <x:row r="137" ht="60" customHeight="1">
      <x:c r="A137" s="23" t="n">
        <x:v>79</x:v>
      </x:c>
      <x:c r="B137" s="23" t="str">
        <x:v>AAOI</x:v>
      </x:c>
      <x:c r="C137" s="53" t="n">
        <x:v>46216.846504629626</x:v>
      </x:c>
      <x:c r="D137" s="23" t="str">
        <x:v>aleabitoreddit</x:v>
      </x:c>
      <x:c r="E137" s="23" t="str">
        <x:v>bearish</x:v>
      </x:c>
      <x:c r="F137" s="34" t="n">
        <x:v>0.8</x:v>
      </x:c>
      <x:c r="G137" s="23" t="str">
        <x:v>auto</x:v>
      </x:c>
      <x:c r="H137" s="23"/>
      <x:c r="I137" s="23" t="str">
        <x:v>first_mention</x:v>
      </x:c>
      <x:c r="J137" s="23" t="str">
        <x:v>thesis</x:v>
      </x:c>
      <x:c r="K137" s="50" t="str">
        <x:v>AAOI는 CPO 레이저 설계 수주가 없어 경쟁에서 뒤쳐짐</x:v>
      </x:c>
      <x:c r="L137" s="50" t="str">
        <x:v>$AAOI mainly gets revenue from pluggable, they’re developing/sampling related lasers but have no CPO design wins.
Others like $MTSI look like they fell off the map for some reason with cpo lasers.
CEO says “TBD” with commercial timing and it’s in reliability work right now. And fits the OSINT research done with Ayar removing Macom from their website.
So would agree with MS that $SIVE, $LITE, $COHR imo are the three leaders to focus on for lasers.</x:v>
      </x:c>
      <x:c r="M137" s="65" t="str">
        <x:v>https://x.com/aleabitoreddit/status/2076763334930812936</x:v>
      </x:c>
      <x:c r="N137" s="23" t="str">
        <x:v>vote 변경</x:v>
      </x:c>
    </x:row>
    <x:row r="138" ht="60" customHeight="1">
      <x:c r="A138" s="23" t="n">
        <x:v>82</x:v>
      </x:c>
      <x:c r="B138" s="23" t="str">
        <x:v>LITE</x:v>
      </x:c>
      <x:c r="C138" s="53" t="n">
        <x:v>46216.846504629626</x:v>
      </x:c>
      <x:c r="D138" s="23" t="str">
        <x:v>aleabitoreddit</x:v>
      </x:c>
      <x:c r="E138" s="23" t="str">
        <x:v>bullish</x:v>
      </x:c>
      <x:c r="F138" s="34" t="n">
        <x:v>0.7</x:v>
      </x:c>
      <x:c r="G138" s="23" t="str">
        <x:v>needs_review</x:v>
      </x:c>
      <x:c r="H138" s="23" t="str">
        <x:v>stance</x:v>
      </x:c>
      <x:c r="I138" s="23" t="str">
        <x:v>first_mention</x:v>
      </x:c>
      <x:c r="J138" s="23" t="str">
        <x:v>thesis</x:v>
      </x:c>
      <x:c r="K138" s="50" t="str">
        <x:v>LITE는 CPO 레이저 분야의 선두주자 중 하나</x:v>
      </x:c>
      <x:c r="L138" s="50" t="str">
        <x:v>$AAOI mainly gets revenue from pluggable, they’re developing/sampling related lasers but have no CPO design wins.
Others like $MTSI look like they fell off the map for some reason with cpo lasers.
CEO says “TBD” with commercial timing and it’s in reliability work right now. And fits the OSINT research done with Ayar removing Macom from their website.
So would agree with MS that $SIVE, $LITE, $COHR imo are the three leaders to focus on for lasers.</x:v>
      </x:c>
      <x:c r="M138" s="65" t="str">
        <x:v>https://x.com/aleabitoreddit/status/2076763334930812936</x:v>
      </x:c>
      <x:c r="N138" s="23" t="str">
        <x:v>제외</x:v>
      </x:c>
    </x:row>
    <x:row r="139" ht="60" customHeight="1">
      <x:c r="A139" s="23" t="n">
        <x:v>83</x:v>
      </x:c>
      <x:c r="B139" s="23" t="str">
        <x:v>COHR</x:v>
      </x:c>
      <x:c r="C139" s="53" t="n">
        <x:v>46216.846504629626</x:v>
      </x:c>
      <x:c r="D139" s="23" t="str">
        <x:v>aleabitoreddit</x:v>
      </x:c>
      <x:c r="E139" s="23" t="str">
        <x:v>bullish</x:v>
      </x:c>
      <x:c r="F139" s="34" t="n">
        <x:v>0.7</x:v>
      </x:c>
      <x:c r="G139" s="23" t="str">
        <x:v>needs_review</x:v>
      </x:c>
      <x:c r="H139" s="23" t="str">
        <x:v>stance</x:v>
      </x:c>
      <x:c r="I139" s="23" t="str">
        <x:v>first_mention</x:v>
      </x:c>
      <x:c r="J139" s="23" t="str">
        <x:v>thesis</x:v>
      </x:c>
      <x:c r="K139" s="50" t="str">
        <x:v>COHR는 CPO 레이저 분야의 선두주자 중 하나</x:v>
      </x:c>
      <x:c r="L139" s="50" t="str">
        <x:v>$AAOI mainly gets revenue from pluggable, they’re developing/sampling related lasers but have no CPO design wins.
Others like $MTSI look like they fell off the map for some reason with cpo lasers.
CEO says “TBD” with commercial timing and it’s in reliability work right now. And fits the OSINT research done with Ayar removing Macom from their website.
So would agree with MS that $SIVE, $LITE, $COHR imo are the three leaders to focus on for lasers.</x:v>
      </x:c>
      <x:c r="M139" s="65" t="str">
        <x:v>https://x.com/aleabitoreddit/status/2076763334930812936</x:v>
      </x:c>
      <x:c r="N139" s="23" t="str">
        <x:v>제외</x:v>
      </x:c>
    </x:row>
    <x:row r="140" ht="60" customHeight="1">
      <x:c r="A140" s="23" t="n">
        <x:v>1181</x:v>
      </x:c>
      <x:c r="B140" s="23" t="str">
        <x:v>NVDA</x:v>
      </x:c>
      <x:c r="C140" s="53" t="n">
        <x:v>46216.883101851854</x:v>
      </x:c>
      <x:c r="D140" s="23" t="str">
        <x:v>Beth_Kindig</x:v>
      </x:c>
      <x:c r="E140" s="23" t="str">
        <x:v>bullish</x:v>
      </x:c>
      <x:c r="F140" s="34" t="n">
        <x:v>0.7</x:v>
      </x:c>
      <x:c r="G140" s="23" t="str">
        <x:v>needs_review</x:v>
      </x:c>
      <x:c r="H140" s="23" t="str">
        <x:v>stance</x:v>
      </x:c>
      <x:c r="I140" s="23" t="str">
        <x:v>repeat</x:v>
      </x:c>
      <x:c r="J140" s="23" t="str">
        <x:v>catalyst</x:v>
      </x:c>
      <x:c r="K140" s="50" t="str">
        <x:v>메타의 데이터센터 확장은 엔비디아 GPU 수요 증가로 이어질 것</x:v>
      </x:c>
      <x:c r="L140" s="50" t="str">
        <x:v>Meta $META is expanding its Hyperion data center in Louisiana to 5GW, taking its planned investment in the facility to over $50 billion. 
$NVDA $AVGO $AMD</x:v>
      </x:c>
      <x:c r="M140" s="65" t="str">
        <x:v>https://x.com/Beth_Kindig/status/2076776599672746152</x:v>
      </x:c>
      <x:c r="N140" s="23" t="str">
        <x:v>제외</x:v>
      </x:c>
    </x:row>
    <x:row r="141" ht="60" customHeight="1">
      <x:c r="A141" s="23" t="n">
        <x:v>84</x:v>
      </x:c>
      <x:c r="B141" s="23" t="str">
        <x:v>AAOI</x:v>
      </x:c>
      <x:c r="C141" s="53" t="n">
        <x:v>46216.970671296294</x:v>
      </x:c>
      <x:c r="D141" s="23" t="str">
        <x:v>aleabitoreddit</x:v>
      </x:c>
      <x:c r="E141" s="23" t="str">
        <x:v>bullish</x:v>
      </x:c>
      <x:c r="F141" s="34" t="n">
        <x:v>0.8</x:v>
      </x:c>
      <x:c r="G141" s="23" t="str">
        <x:v>auto</x:v>
      </x:c>
      <x:c r="H141" s="23"/>
      <x:c r="I141" s="23" t="str">
        <x:v>new_claim</x:v>
      </x:c>
      <x:c r="J141" s="23" t="str">
        <x:v>catalyst</x:v>
      </x:c>
      <x:c r="K141" s="50" t="str">
        <x:v>800G 수요 증가로 미국 트랜시버 업체에 긍정적</x:v>
      </x:c>
      <x:c r="L141" s="50" t="str">
        <x:v>TLDR of Innolight investor relations takeaways:
1. "Overall, 1.6T market demand has not contracted; instead, 800G demand has increased significantly compared with previous expectations"
Prob most important takeaway as a whole was 800G demand revision (also longer tail demand). Which is a bullish read through on US transceiver makers like $AAOI, $COHR, $LITE. 
Lot of new customers like neoclouds, AI model companies, contributing to overall demand rather than just hyperscalers, diversification always a bonus. 
2. Innolight said the shortage covers the module supply chain broadly including:
- Optical chips.
- Electrical chips.
- PCBs.
- Other module materials
From last ER, I think they singled out EMLs and CW optical chips as the most constrained. So Innolight's bottleneck list mention broadened since then. 
They expect some of the component availability to improve gradually from the second half of 2026 through the first half of 2027. 
Think a lot of this is already known from earlier though. 
But just some confirmation + easing timelines (EML is extremely bottlenecked, same with CW, this is probably talking about other components). 
3.  Innolight said module-production equipment is not the constraint. Equipment lead times remain relatively short. 
So this isn't really a bottleneck compared to others. 
4. The overall proportion of silicon photonics continues to trend upward. Last year it was mainly 800G. This year, some 800G customers are further increasing their silicon-photonics proportion. 1.6T also added some new customers
Positive for SiPH penetration eg. $SIVE / $JBL, since this shifts away from EML toward CW. 
Basically: main surprising takeaway is just 800g demand go brrr. 
Apart from that just reaffirming bottlenecks/timelines/market speculation.</x:v>
      </x:c>
      <x:c r="M141" s="65" t="str">
        <x:v>https://x.com/aleabitoreddit/status/2076808331453415674</x:v>
      </x:c>
      <x:c r="N141" s="23" t="str">
        <x:v>vote 변경</x:v>
      </x:c>
    </x:row>
    <x:row r="142" ht="60" customHeight="1">
      <x:c r="A142" s="23" t="n">
        <x:v>85</x:v>
      </x:c>
      <x:c r="B142" s="23" t="str">
        <x:v>COHR</x:v>
      </x:c>
      <x:c r="C142" s="53" t="n">
        <x:v>46216.970671296294</x:v>
      </x:c>
      <x:c r="D142" s="23" t="str">
        <x:v>aleabitoreddit</x:v>
      </x:c>
      <x:c r="E142" s="23" t="str">
        <x:v>bullish</x:v>
      </x:c>
      <x:c r="F142" s="34" t="n">
        <x:v>0.8</x:v>
      </x:c>
      <x:c r="G142" s="23" t="str">
        <x:v>auto</x:v>
      </x:c>
      <x:c r="H142" s="23"/>
      <x:c r="I142" s="23" t="str">
        <x:v>new_claim</x:v>
      </x:c>
      <x:c r="J142" s="23" t="str">
        <x:v>catalyst</x:v>
      </x:c>
      <x:c r="K142" s="50" t="str">
        <x:v>800G 수요 증가로 미국 트랜시버 업체에 긍정적</x:v>
      </x:c>
      <x:c r="L142" s="50" t="str">
        <x:v>TLDR of Innolight investor relations takeaways:
1. "Overall, 1.6T market demand has not contracted; instead, 800G demand has increased significantly compared with previous expectations"
Prob most important takeaway as a whole was 800G demand revision (also longer tail demand). Which is a bullish read through on US transceiver makers like $AAOI, $COHR, $LITE. 
Lot of new customers like neoclouds, AI model companies, contributing to overall demand rather than just hyperscalers, diversification always a bonus. 
2. Innolight said the shortage covers the module supply chain broadly including:
- Optical chips.
- Electrical chips.
- PCBs.
- Other module materials
From last ER, I think they singled out EMLs and CW optical chips as the most constrained. So Innolight's bottleneck list mention broadened since then. 
They expect some of the component availability to improve gradually from the second half of 2026 through the first half of 2027. 
Think a lot of this is already known from earlier though. 
But just some confirmation + easing timelines (EML is extremely bottlenecked, same with CW, this is probably talking about other components). 
3.  Innolight said module-production equipment is not the constraint. Equipment lead times remain relatively short. 
So this isn't really a bottleneck compared to others. 
4. The overall proportion of silicon photonics continues to trend upward. Last year it was mainly 800G. This year, some 800G customers are further increasing their silicon-photonics proportion. 1.6T also added some new customers
Positive for SiPH penetration eg. $SIVE / $JBL, since this shifts away from EML toward CW. 
Basically: main surprising takeaway is just 800g demand go brrr. 
Apart from that just reaffirming bottlenecks/timelines/market speculation.</x:v>
      </x:c>
      <x:c r="M142" s="65" t="str">
        <x:v>https://x.com/aleabitoreddit/status/2076808331453415674</x:v>
      </x:c>
      <x:c r="N142" s="23" t="str">
        <x:v>vote 변경</x:v>
      </x:c>
    </x:row>
    <x:row r="143" ht="60" customHeight="1">
      <x:c r="A143" s="23" t="n">
        <x:v>86</x:v>
      </x:c>
      <x:c r="B143" s="23" t="str">
        <x:v>LITE</x:v>
      </x:c>
      <x:c r="C143" s="53" t="n">
        <x:v>46216.970671296294</x:v>
      </x:c>
      <x:c r="D143" s="23" t="str">
        <x:v>aleabitoreddit</x:v>
      </x:c>
      <x:c r="E143" s="23" t="str">
        <x:v>bullish</x:v>
      </x:c>
      <x:c r="F143" s="34" t="n">
        <x:v>0.8</x:v>
      </x:c>
      <x:c r="G143" s="23" t="str">
        <x:v>auto</x:v>
      </x:c>
      <x:c r="H143" s="23"/>
      <x:c r="I143" s="23" t="str">
        <x:v>new_claim</x:v>
      </x:c>
      <x:c r="J143" s="23" t="str">
        <x:v>catalyst</x:v>
      </x:c>
      <x:c r="K143" s="50" t="str">
        <x:v>800G 수요 증가로 미국 트랜시버 업체에 긍정적</x:v>
      </x:c>
      <x:c r="L143" s="50" t="str">
        <x:v>TLDR of Innolight investor relations takeaways:
1. "Overall, 1.6T market demand has not contracted; instead, 800G demand has increased significantly compared with previous expectations"
Prob most important takeaway as a whole was 800G demand revision (also longer tail demand). Which is a bullish read through on US transceiver makers like $AAOI, $COHR, $LITE. 
Lot of new customers like neoclouds, AI model companies, contributing to overall demand rather than just hyperscalers, diversification always a bonus. 
2. Innolight said the shortage covers the module supply chain broadly including:
- Optical chips.
- Electrical chips.
- PCBs.
- Other module materials
From last ER, I think they singled out EMLs and CW optical chips as the most constrained. So Innolight's bottleneck list mention broadened since then. 
They expect some of the component availability to improve gradually from the second half of 2026 through the first half of 2027. 
Think a lot of this is already known from earlier though. 
But just some confirmation + easing timelines (EML is extremely bottlenecked, same with CW, this is probably talking about other components). 
3.  Innolight said module-production equipment is not the constraint. Equipment lead times remain relatively short. 
So this isn't really a bottleneck compared to others. 
4. The overall proportion of silicon photonics continues to trend upward. Last year it was mainly 800G. This year, some 800G customers are further increasing their silicon-photonics proportion. 1.6T also added some new customers
Positive for SiPH penetration eg. $SIVE / $JBL, since this shifts away from EML toward CW. 
Basically: main surprising takeaway is just 800g demand go brrr. 
Apart from that just reaffirming bottlenecks/timelines/market speculation.</x:v>
      </x:c>
      <x:c r="M143" s="65" t="str">
        <x:v>https://x.com/aleabitoreddit/status/2076808331453415674</x:v>
      </x:c>
      <x:c r="N143" s="23" t="str">
        <x:v>vote 변경</x:v>
      </x:c>
    </x:row>
    <x:row r="144" ht="60" customHeight="1">
      <x:c r="A144" s="23" t="n">
        <x:v>153</x:v>
      </x:c>
      <x:c r="B144" s="23" t="str">
        <x:v>NVDA</x:v>
      </x:c>
      <x:c r="C144" s="53" t="n">
        <x:v>46217.077361111114</x:v>
      </x:c>
      <x:c r="D144" s="23" t="str">
        <x:v>aleabitoreddit</x:v>
      </x:c>
      <x:c r="E144" s="23" t="str">
        <x:v>bullish</x:v>
      </x:c>
      <x:c r="F144" s="34" t="n">
        <x:v>0.9</x:v>
      </x:c>
      <x:c r="G144" s="23" t="str">
        <x:v>auto</x:v>
      </x:c>
      <x:c r="H144" s="23"/>
      <x:c r="I144" s="23" t="str">
        <x:v>new_claim</x:v>
      </x:c>
      <x:c r="J144" s="23" t="str">
        <x:v>catalyst</x:v>
      </x:c>
      <x:c r="K144" s="50" t="str">
        <x:v>지연 루머 반박 및 제품 일정 계획대로 진행</x:v>
      </x:c>
      <x:c r="L144" s="50" t="str">
        <x:v>So Jensen himself went out to do damage control with $NVDA delays reports apparently:
1. Jensen Huang said no delays: 
- 800V and rack-to-rack optical interconnects is progressing fully in line with the original plan with no material delay. 
- Debunked the rumor that the next-generation flagship, Rubin Ultra, would be delayed until 2028 and said it would be on track to ship next year
- Rack system optimizations, like replacing Kyber with a new design are architectural optimizations, not impacting delivery timelines.
2. On ASIC competition: no loss of market share.
- Talked about how a leading frontier lab that previously relied heavily on internal ASICs has shifted nearly 50% of its compute load to Nvidia
3. On over-reliance on hyperscalers.
- AI frontier labs currently contributing to ~20% of demand.
- Traditional cloud providers, Nvidia provides Vera CPUs and high-speed networking
- Sovereign AI</x:v>
      </x:c>
      <x:c r="M144" s="65" t="str">
        <x:v>https://x.com/aleabitoreddit/status/2076846994614792663</x:v>
      </x:c>
      <x:c r="N144" s="23" t="str">
        <x:v>vote 변경</x:v>
      </x:c>
    </x:row>
    <x:row r="145" ht="60" customHeight="1">
      <x:c r="A145" s="23" t="n">
        <x:v>90</x:v>
      </x:c>
      <x:c r="B145" s="23" t="str">
        <x:v>AAOI</x:v>
      </x:c>
      <x:c r="C145" s="53" t="n">
        <x:v>46217.60821759259</x:v>
      </x:c>
      <x:c r="D145" s="23" t="str">
        <x:v>aleabitoreddit</x:v>
      </x:c>
      <x:c r="E145" s="23" t="str">
        <x:v>neutral</x:v>
      </x:c>
      <x:c r="F145" s="34" t="n">
        <x:v>0.6</x:v>
      </x:c>
      <x:c r="G145" s="23" t="str">
        <x:v>needs_review</x:v>
      </x:c>
      <x:c r="H145" s="23" t="str">
        <x:v>stance</x:v>
      </x:c>
      <x:c r="I145" s="23" t="str">
        <x:v>new_claim</x:v>
      </x:c>
      <x:c r="J145" s="23" t="str">
        <x:v>catalyst</x:v>
      </x:c>
      <x:c r="K145" s="50" t="str">
        <x:v>텍사스에서 800G/1.6T 생산을 위한 40만 평방피트 시설 착공 발표는 기존 계획의 착공 단계로 신규성은 낮지만, 주정부 보조금 2085만 달러 수령은 긍정적 신호.</x:v>
      </x:c>
      <x:c r="L145" s="50" t="str">
        <x:v>Two different capacity expansion announcements today across $TSEM and $AAOI.
Tower Semi, supported by the Japanese government, announced expansion of its 300mm Silicon Photonics (SiPho), Silicon Germanium (SiGe), and advanced packaging capabilities. 
Targeting $1.2B net profit, and $3.6B revenue in 2028 (with a ~$28B MC, that's ~23.3 2028 forward p/e).
AAOI announced the commencement of its buildout, roughly 400,000 square feet of manufacturing to make 800g/1.6T production go brrr. 
The overall expansion is also supported by the local city government in Texas. (they also $20.85M worth of subsidies from the State earlier).
This one isn't exactly as materially new as Tower, since AAOI originally announced these plans before. Just commencement of it. 
Regardless, glad to see both of these companies in their Anime training arc phase as they power up.</x:v>
      </x:c>
      <x:c r="M145" s="65" t="str">
        <x:v>https://x.com/aleabitoreddit/status/2077039373711970804</x:v>
      </x:c>
      <x:c r="N145" s="23" t="str">
        <x:v>제외</x:v>
      </x:c>
    </x:row>
    <x:row r="146" ht="60" customHeight="1">
      <x:c r="A146" s="23" t="n">
        <x:v>97</x:v>
      </x:c>
      <x:c r="B146" s="23" t="str">
        <x:v>LITE</x:v>
      </x:c>
      <x:c r="C146" s="53" t="n">
        <x:v>46217.621724537035</x:v>
      </x:c>
      <x:c r="D146" s="23" t="str">
        <x:v>aleabitoreddit</x:v>
      </x:c>
      <x:c r="E146" s="23" t="str">
        <x:v>neutral</x:v>
      </x:c>
      <x:c r="F146" s="34" t="n">
        <x:v>0.5</x:v>
      </x:c>
      <x:c r="G146" s="23" t="str">
        <x:v>needs_review</x:v>
      </x:c>
      <x:c r="H146" s="23" t="str">
        <x:v>stance</x:v>
      </x:c>
      <x:c r="I146" s="23" t="str">
        <x:v>repeat</x:v>
      </x:c>
      <x:c r="J146" s="23" t="str">
        <x:v>other</x:v>
      </x:c>
      <x:c r="K146" s="50" t="str">
        <x:v>LITE는 광학 섹터 회복과 함께 언급되었으며, CPO 레이저 선도 기업 중 하나로 분류됨.</x:v>
      </x:c>
      <x:c r="L146" s="50" t="str">
        <x:v>Feels like algos often miss $SIVE, after slight $LITE / optical sector recovery after CPI print. Especially bc it's trading on some random Swedish exchange, but catches up on random days. 
That being said it's definitely on institutional radar, especially since MS put it next to $LITE and $COHR as the three leading CPO laser companies yesterday. 
Just waiting for things to play out, stocks don't move in a straight line up every day.</x:v>
      </x:c>
      <x:c r="M146" s="65" t="str">
        <x:v>https://x.com/aleabitoreddit/status/2077044267151925411</x:v>
      </x:c>
      <x:c r="N146" s="23" t="str">
        <x:v>제외</x:v>
      </x:c>
    </x:row>
    <x:row r="147" ht="60" customHeight="1">
      <x:c r="A147" s="23" t="n">
        <x:v>98</x:v>
      </x:c>
      <x:c r="B147" s="23" t="str">
        <x:v>COHR</x:v>
      </x:c>
      <x:c r="C147" s="53" t="n">
        <x:v>46217.621724537035</x:v>
      </x:c>
      <x:c r="D147" s="23" t="str">
        <x:v>aleabitoreddit</x:v>
      </x:c>
      <x:c r="E147" s="23" t="str">
        <x:v>neutral</x:v>
      </x:c>
      <x:c r="F147" s="34" t="n">
        <x:v>0.5</x:v>
      </x:c>
      <x:c r="G147" s="23" t="str">
        <x:v>needs_review</x:v>
      </x:c>
      <x:c r="H147" s="23" t="str">
        <x:v>stance</x:v>
      </x:c>
      <x:c r="I147" s="23" t="str">
        <x:v>repeat</x:v>
      </x:c>
      <x:c r="J147" s="23" t="str">
        <x:v>other</x:v>
      </x:c>
      <x:c r="K147" s="50" t="str">
        <x:v>COHR는 CPO 레이저 선도 기업 중 하나로 언급됨.</x:v>
      </x:c>
      <x:c r="L147" s="50" t="str">
        <x:v>Feels like algos often miss $SIVE, after slight $LITE / optical sector recovery after CPI print. Especially bc it's trading on some random Swedish exchange, but catches up on random days. 
That being said it's definitely on institutional radar, especially since MS put it next to $LITE and $COHR as the three leading CPO laser companies yesterday. 
Just waiting for things to play out, stocks don't move in a straight line up every day.</x:v>
      </x:c>
      <x:c r="M147" s="65" t="str">
        <x:v>https://x.com/aleabitoreddit/status/2077044267151925411</x:v>
      </x:c>
      <x:c r="N147" s="23" t="str">
        <x:v>제외</x:v>
      </x:c>
    </x:row>
    <x:row r="148" ht="60" customHeight="1">
      <x:c r="A148" s="23" t="n">
        <x:v>1191</x:v>
      </x:c>
      <x:c r="B148" s="23" t="str">
        <x:v>NVDA</x:v>
      </x:c>
      <x:c r="C148" s="53" t="n">
        <x:v>46218.04146990741</x:v>
      </x:c>
      <x:c r="D148" s="23" t="str">
        <x:v>Beth_Kindig</x:v>
      </x:c>
      <x:c r="E148" s="23" t="str">
        <x:v>bullish</x:v>
      </x:c>
      <x:c r="F148" s="34" t="n">
        <x:v>0.7</x:v>
      </x:c>
      <x:c r="G148" s="23" t="str">
        <x:v>needs_review</x:v>
      </x:c>
      <x:c r="H148" s="23" t="str">
        <x:v>stance</x:v>
      </x:c>
      <x:c r="I148" s="23" t="str">
        <x:v>first_mention</x:v>
      </x:c>
      <x:c r="J148" s="23" t="str">
        <x:v>growth</x:v>
      </x:c>
      <x:c r="K148" s="50" t="str">
        <x:v>메타의 대규모 AI 인프라 확장은 엔비디아 GPU 수요 증가로 이어질 것</x:v>
      </x:c>
      <x:c r="L148" s="50" t="str">
        <x:v>Meta $META is also aiming to deploy 7GW of capacity this year, with 1GW added in the first half, before doubling this to 14GW by the end of next year.
$NVDA $AVGO $AMD</x:v>
      </x:c>
      <x:c r="M148" s="65" t="str">
        <x:v>https://x.com/Beth_Kindig/status/2077196378757841011</x:v>
      </x:c>
      <x:c r="N148" s="23" t="str">
        <x:v>제외</x:v>
      </x:c>
    </x:row>
    <x:row r="149" ht="60" customHeight="1">
      <x:c r="A149" s="23" t="n">
        <x:v>104</x:v>
      </x:c>
      <x:c r="B149" s="23" t="str">
        <x:v>NVDA</x:v>
      </x:c>
      <x:c r="C149" s="53" t="n">
        <x:v>46218.62143518519</x:v>
      </x:c>
      <x:c r="D149" s="23" t="str">
        <x:v>aleabitoreddit</x:v>
      </x:c>
      <x:c r="E149" s="23" t="str">
        <x:v>bullish</x:v>
      </x:c>
      <x:c r="F149" s="34" t="n">
        <x:v>0.8</x:v>
      </x:c>
      <x:c r="G149" s="23" t="str">
        <x:v>auto</x:v>
      </x:c>
      <x:c r="H149" s="23"/>
      <x:c r="I149" s="23" t="str">
        <x:v>new_claim</x:v>
      </x:c>
      <x:c r="J149" s="23" t="str">
        <x:v>catalyst</x:v>
      </x:c>
      <x:c r="K149" s="50" t="str">
        <x:v>Vera Rubin 생산 지연설이 부인되었으며, 생산이 이미 진행 중입니다.</x:v>
      </x:c>
      <x:c r="L149" s="50" t="str">
        <x:v>$NVDA CEO, Jensen Huang in Tokyo today said:
"The reports are not true. Vera Rubin is already in production. Giant amounts of production incoming"
As a flat denial to the accusation that their AI servers would be delayed. 
Jensen appears to be using the Umbrella term for Rubin Ultra/Kyber, then pointed to current gen ramp. 
Regardless, lot of damage has been done already to Nvidia supply chains stock prices, after the multiple delay reports. Even if Nvidia refuted them by clarifying Kyber change was an architecture optimization, not impacting timelines.
It's a very dangerous and growing trend for folks to post  overreaching broader claims from technical nuances to grow viewcount... Especially if they get Jensen has to respond.
In the end, I'm trusting $NVDA on timelines since they probably have the greatest visibility into their own supply chain.</x:v>
      </x:c>
      <x:c r="M149" s="65" t="str">
        <x:v>https://x.com/aleabitoreddit/status/2077406548012466390</x:v>
      </x:c>
      <x:c r="N149" s="23" t="str">
        <x:v>vote 변경</x:v>
      </x:c>
    </x:row>
    <x:row r="150" ht="60" customHeight="1">
      <x:c r="A150" s="23" t="n">
        <x:v>106</x:v>
      </x:c>
      <x:c r="B150" s="23" t="str">
        <x:v>LITE</x:v>
      </x:c>
      <x:c r="C150" s="53" t="n">
        <x:v>46218.63043981481</x:v>
      </x:c>
      <x:c r="D150" s="23" t="str">
        <x:v>aleabitoreddit</x:v>
      </x:c>
      <x:c r="E150" s="23" t="str">
        <x:v>bullish</x:v>
      </x:c>
      <x:c r="F150" s="34" t="n">
        <x:v>0.9</x:v>
      </x:c>
      <x:c r="G150" s="23" t="str">
        <x:v>auto</x:v>
      </x:c>
      <x:c r="H150" s="23"/>
      <x:c r="I150" s="23" t="str">
        <x:v>first_mention</x:v>
      </x:c>
      <x:c r="J150" s="23" t="str">
        <x:v>catalyst</x:v>
      </x:c>
      <x:c r="K150" s="50" t="str">
        <x:v>LITE가 향후 2년간 완전히 매진되었고 포토닉스 수요는 2029년까지 지속되어 매출 가시성이 높음.</x:v>
      </x:c>
      <x:c r="L150" s="50" t="str">
        <x:v>I don't see any fundamentally wrong. There's probably going to be large corrections from time to time flush out margin/leverage before things move higher. 
And this month seems like that time of year?
$POET confirmed your big optical giants like $LITE, $COHR are completely sold out for the next 2 years, and likely into 2029 for photonics.
Innolight confirmed 800g transceiver upward revisions 3 days ago, so that should be positive for $AAOI and the others.
Samsung became the most profitable company in the world, and continues to project DRAM hikes for future quarters. $MU signed 16+ LTAs showing memory demand is structural... 
$META + hyperscaler capex plans are on the higher end of projections. 
I wouldn't conflate short term price movements with longer term trends. And as seen with $AEHR, recoveries tend to be extremely fast (eg. 1M of corrections wiped out overnight).</x:v>
      </x:c>
      <x:c r="M150" s="65" t="str">
        <x:v>https://x.com/aleabitoreddit/status/2077409813496250522</x:v>
      </x:c>
      <x:c r="N150" s="23" t="str">
        <x:v>vote 변경</x:v>
      </x:c>
    </x:row>
    <x:row r="151" ht="60" customHeight="1">
      <x:c r="A151" s="23" t="n">
        <x:v>107</x:v>
      </x:c>
      <x:c r="B151" s="23" t="str">
        <x:v>COHR</x:v>
      </x:c>
      <x:c r="C151" s="53" t="n">
        <x:v>46218.63043981481</x:v>
      </x:c>
      <x:c r="D151" s="23" t="str">
        <x:v>aleabitoreddit</x:v>
      </x:c>
      <x:c r="E151" s="23" t="str">
        <x:v>bullish</x:v>
      </x:c>
      <x:c r="F151" s="34" t="n">
        <x:v>0.9</x:v>
      </x:c>
      <x:c r="G151" s="23" t="str">
        <x:v>auto</x:v>
      </x:c>
      <x:c r="H151" s="23"/>
      <x:c r="I151" s="23" t="str">
        <x:v>first_mention</x:v>
      </x:c>
      <x:c r="J151" s="23" t="str">
        <x:v>catalyst</x:v>
      </x:c>
      <x:c r="K151" s="50" t="str">
        <x:v>COHR가 향후 2년간 완전히 매진되었고 포토닉스 수요는 2029년까지 지속되어 매출 가시성이 높음.</x:v>
      </x:c>
      <x:c r="L151" s="50" t="str">
        <x:v>I don't see any fundamentally wrong. There's probably going to be large corrections from time to time flush out margin/leverage before things move higher. 
And this month seems like that time of year?
$POET confirmed your big optical giants like $LITE, $COHR are completely sold out for the next 2 years, and likely into 2029 for photonics.
Innolight confirmed 800g transceiver upward revisions 3 days ago, so that should be positive for $AAOI and the others.
Samsung became the most profitable company in the world, and continues to project DRAM hikes for future quarters. $MU signed 16+ LTAs showing memory demand is structural... 
$META + hyperscaler capex plans are on the higher end of projections. 
I wouldn't conflate short term price movements with longer term trends. And as seen with $AEHR, recoveries tend to be extremely fast (eg. 1M of corrections wiped out overnight).</x:v>
      </x:c>
      <x:c r="M151" s="65" t="str">
        <x:v>https://x.com/aleabitoreddit/status/2077409813496250522</x:v>
      </x:c>
      <x:c r="N151" s="23" t="str">
        <x:v>vote 변경</x:v>
      </x:c>
    </x:row>
    <x:row r="152" ht="60" customHeight="1">
      <x:c r="A152" s="23" t="n">
        <x:v>108</x:v>
      </x:c>
      <x:c r="B152" s="23" t="str">
        <x:v>AAOI</x:v>
      </x:c>
      <x:c r="C152" s="53" t="n">
        <x:v>46218.63043981481</x:v>
      </x:c>
      <x:c r="D152" s="23" t="str">
        <x:v>aleabitoreddit</x:v>
      </x:c>
      <x:c r="E152" s="23" t="str">
        <x:v>bullish</x:v>
      </x:c>
      <x:c r="F152" s="34" t="n">
        <x:v>0.8</x:v>
      </x:c>
      <x:c r="G152" s="23" t="str">
        <x:v>auto</x:v>
      </x:c>
      <x:c r="H152" s="23"/>
      <x:c r="I152" s="23" t="str">
        <x:v>first_mention</x:v>
      </x:c>
      <x:c r="J152" s="23" t="str">
        <x:v>catalyst</x:v>
      </x:c>
      <x:c r="K152" s="50" t="str">
        <x:v>Innolight의 800G 트랜시버 상향 조정은 AAOI에 긍정적 영향을 미칠 것.</x:v>
      </x:c>
      <x:c r="L152" s="50" t="str">
        <x:v>I don't see any fundamentally wrong. There's probably going to be large corrections from time to time flush out margin/leverage before things move higher. 
And this month seems like that time of year?
$POET confirmed your big optical giants like $LITE, $COHR are completely sold out for the next 2 years, and likely into 2029 for photonics.
Innolight confirmed 800g transceiver upward revisions 3 days ago, so that should be positive for $AAOI and the others.
Samsung became the most profitable company in the world, and continues to project DRAM hikes for future quarters. $MU signed 16+ LTAs showing memory demand is structural... 
$META + hyperscaler capex plans are on the higher end of projections. 
I wouldn't conflate short term price movements with longer term trends. And as seen with $AEHR, recoveries tend to be extremely fast (eg. 1M of corrections wiped out overnight).</x:v>
      </x:c>
      <x:c r="M152" s="65" t="str">
        <x:v>https://x.com/aleabitoreddit/status/2077409813496250522</x:v>
      </x:c>
      <x:c r="N152" s="23" t="str">
        <x:v>vote 변경</x:v>
      </x:c>
    </x:row>
    <x:row r="153" ht="60" customHeight="1">
      <x:c r="A153" s="23" t="n">
        <x:v>121</x:v>
      </x:c>
      <x:c r="B153" s="23" t="str">
        <x:v>AAOI</x:v>
      </x:c>
      <x:c r="C153" s="53" t="n">
        <x:v>46219.58771990741</x:v>
      </x:c>
      <x:c r="D153" s="23" t="str">
        <x:v>aleabitoreddit</x:v>
      </x:c>
      <x:c r="E153" s="23" t="str">
        <x:v>bearish</x:v>
      </x:c>
      <x:c r="F153" s="34" t="n">
        <x:v>0.9</x:v>
      </x:c>
      <x:c r="G153" s="23" t="str">
        <x:v>auto</x:v>
      </x:c>
      <x:c r="H153" s="23"/>
      <x:c r="I153" s="23" t="str">
        <x:v>first_mention</x:v>
      </x:c>
      <x:c r="J153" s="23" t="str">
        <x:v>valuation</x:v>
      </x:c>
      <x:c r="K153" s="50" t="str">
        <x:v>AAOI의 밸류에이션이 극단적으로 비싸다.</x:v>
      </x:c>
      <x:c r="L153" s="50" t="str">
        <x:v>I personally think valuations are extremely stupid now on $AAOI and $SIVE.
With AAOI you're doing $5.62B annualized revenue (probably higher), by midpoint next year. And it's a $8B MC.
With Sivers, I would est. it's close to ~5 forward 2028 P/E off 10% win allocation, 65% yield, and $75 ASP.</x:v>
      </x:c>
      <x:c r="M153" s="65" t="str">
        <x:v>https://x.com/aleabitoreddit/status/2077756721293037626</x:v>
      </x:c>
      <x:c r="N153" s="23" t="str">
        <x:v>vote 변경</x:v>
      </x:c>
    </x:row>
    <x:row r="154" ht="60" customHeight="1">
      <x:c r="A154" s="23" t="n">
        <x:v>125</x:v>
      </x:c>
      <x:c r="B154" s="23" t="str">
        <x:v>LITE</x:v>
      </x:c>
      <x:c r="C154" s="53" t="n">
        <x:v>46219.634363425925</x:v>
      </x:c>
      <x:c r="D154" s="23" t="str">
        <x:v>aleabitoreddit</x:v>
      </x:c>
      <x:c r="E154" s="23" t="str">
        <x:v>bullish</x:v>
      </x:c>
      <x:c r="F154" s="34" t="n">
        <x:v>0.9</x:v>
      </x:c>
      <x:c r="G154" s="23" t="str">
        <x:v>auto</x:v>
      </x:c>
      <x:c r="H154" s="23"/>
      <x:c r="I154" s="23" t="str">
        <x:v>repeat</x:v>
      </x:c>
      <x:c r="J154" s="23" t="str">
        <x:v>thesis</x:v>
      </x:c>
      <x:c r="K154" s="50" t="str">
        <x:v>EML 병목 지점을 장악하여 2년 만에 30억 달러에서 600억 달러 이상으로 성장한 사례는 병목 지점 장악의 가치를 입증함</x:v>
      </x:c>
      <x:c r="L154" s="50" t="str">
        <x:v>I think people tend to forget that $LITE went from a $3B valuation to $60B+ in 2 years time from owning the EML chokepoint. 
This was before the 9x TAM expansion to ~$154B per GS by H2 2028. 
$SIVE has the opportunity to dominate the next CW chokepoint with 1.6T and CPO. 
And it's sitting at ~$1.1B now.</x:v>
      </x:c>
      <x:c r="M154" s="65" t="str">
        <x:v>https://x.com/aleabitoreddit/status/2077773622513643592</x:v>
      </x:c>
      <x:c r="N154" s="23" t="str">
        <x:v>vote 변경</x:v>
      </x:c>
    </x:row>
    <x:row r="155" ht="60" customHeight="1">
      <x:c r="A155" s="23" t="n">
        <x:v>150</x:v>
      </x:c>
      <x:c r="B155" s="23" t="str">
        <x:v>AAOI</x:v>
      </x:c>
      <x:c r="C155" s="53" t="n">
        <x:v>46219.64952546296</x:v>
      </x:c>
      <x:c r="D155" s="23" t="str">
        <x:v>aleabitoreddit</x:v>
      </x:c>
      <x:c r="E155" s="23" t="str">
        <x:v>bearish</x:v>
      </x:c>
      <x:c r="F155" s="34" t="n">
        <x:v>0.8</x:v>
      </x:c>
      <x:c r="G155" s="23" t="str">
        <x:v>auto</x:v>
      </x:c>
      <x:c r="H155" s="23"/>
      <x:c r="I155" s="23" t="str">
        <x:v>unclear</x:v>
      </x:c>
      <x:c r="J155" s="23" t="str">
        <x:v>positioning</x:v>
      </x:c>
      <x:c r="K155" s="50" t="str">
        <x:v>AAOI가 고베타 종목으로서 50% 하락했다고 언급함.</x:v>
      </x:c>
      <x:c r="L155" s="50" t="str">
        <x:v>I’m not sure if you’re aware but the entire AI sector is dropping indiscriminately right now.
A $1T company like Samsung is down -26% this month. $MRVL is down -31%.
So higher beta names tend to move a lot more like $AAOI and $SIVE with their 50% drops.
But recoveries tend to be a lot more volatile like $AEHR 50% single day gain after ER.</x:v>
      </x:c>
      <x:c r="M155" s="65" t="str">
        <x:v>https://x.com/aleabitoreddit/status/2077779117114626132</x:v>
      </x:c>
      <x:c r="N155" s="23" t="str">
        <x:v>vote 변경</x:v>
      </x:c>
    </x:row>
    <x:row r="156" ht="60" customHeight="1">
      <x:c r="A156" s="23" t="n">
        <x:v>136</x:v>
      </x:c>
      <x:c r="B156" s="23" t="str">
        <x:v>LITE</x:v>
      </x:c>
      <x:c r="C156" s="53" t="n">
        <x:v>46219.6646412037</x:v>
      </x:c>
      <x:c r="D156" s="23" t="str">
        <x:v>aleabitoreddit</x:v>
      </x:c>
      <x:c r="E156" s="23" t="str">
        <x:v>bullish</x:v>
      </x:c>
      <x:c r="F156" s="34" t="n">
        <x:v>0.7</x:v>
      </x:c>
      <x:c r="G156" s="23" t="str">
        <x:v>needs_review</x:v>
      </x:c>
      <x:c r="H156" s="23" t="str">
        <x:v>stance</x:v>
      </x:c>
      <x:c r="I156" s="23" t="str">
        <x:v>first_mention</x:v>
      </x:c>
      <x:c r="J156" s="23" t="str">
        <x:v>valuation</x:v>
      </x:c>
      <x:c r="K156" s="50" t="str">
        <x:v>세미 시장 바닥에 근접했으며 LITE는 매수 기회.</x:v>
      </x:c>
      <x:c r="L156" s="50" t="str">
        <x:v>My guess is we’re close to market bottom on semis from $INTC to $LITE.
A good indicator is if everyone on $RDDT blew up their portfolios to $0. https://t.co/X1m9Yv1JuX</x:v>
      </x:c>
      <x:c r="M156" s="65" t="str">
        <x:v>https://x.com/aleabitoreddit/status/2077784594959725056</x:v>
      </x:c>
      <x:c r="N156" s="23" t="str">
        <x:v>제외</x:v>
      </x:c>
    </x:row>
    <x:row r="157" ht="60" customHeight="1">
      <x:c r="A157" s="23" t="n">
        <x:v>1241</x:v>
      </x:c>
      <x:c r="B157" s="23" t="str">
        <x:v>AAOI</x:v>
      </x:c>
      <x:c r="C157" s="53" t="n">
        <x:v>46219.91024305556</x:v>
      </x:c>
      <x:c r="D157" s="23" t="str">
        <x:v>Brian_Stoffel_</x:v>
      </x:c>
      <x:c r="E157" s="23" t="str">
        <x:v>neutral</x:v>
      </x:c>
      <x:c r="F157" s="34" t="n">
        <x:v>0</x:v>
      </x:c>
      <x:c r="G157" s="23" t="str">
        <x:v>needs_review</x:v>
      </x:c>
      <x:c r="H157" s="23" t="str">
        <x:v>stance</x:v>
      </x:c>
      <x:c r="I157" s="23" t="str">
        <x:v>unclear</x:v>
      </x:c>
      <x:c r="J157" s="23" t="str">
        <x:v>other</x:v>
      </x:c>
      <x:c r="K157" s="50" t="str">
        <x:v>작성자가 예측한 주식 중 AAOI가 -32% 하락하여 가장 낮은 수익률을 기록함.</x:v>
      </x:c>
      <x:c r="L157" s="50" t="str">
        <x:v>On June 24th, I made this video (link in comments).
Since then:
😡 Most likely to CRASH: -20% on avg 
🤪 Highest VARIENCE: from +21% ($CRWD) to -32% ($AAOI)
😀 Market HUGGERS: Avg just -1%
🟢 Market BEATERS: Avg +9% (vs market's 2%) https://t.co/W4puZJlICq</x:v>
      </x:c>
      <x:c r="M157" s="65" t="str">
        <x:v>https://x.com/Brian_Stoffel_/status/2077873598547517788</x:v>
      </x:c>
      <x:c r="N157" s="23" t="str">
        <x:v>제외</x:v>
      </x:c>
    </x:row>
    <x:row r="158" ht="60" customHeight="1">
      <x:c r="A158" s="23" t="n">
        <x:v>142</x:v>
      </x:c>
      <x:c r="B158" s="23" t="str">
        <x:v>AAOI</x:v>
      </x:c>
      <x:c r="C158" s="53" t="n">
        <x:v>46220.61990740741</x:v>
      </x:c>
      <x:c r="D158" s="23" t="str">
        <x:v>aleabitoreddit</x:v>
      </x:c>
      <x:c r="E158" s="23" t="str">
        <x:v>bullish</x:v>
      </x:c>
      <x:c r="F158" s="34" t="n">
        <x:v>0.9</x:v>
      </x:c>
      <x:c r="G158" s="23" t="str">
        <x:v>auto</x:v>
      </x:c>
      <x:c r="H158" s="23"/>
      <x:c r="I158" s="23" t="str">
        <x:v>new_claim</x:v>
      </x:c>
      <x:c r="J158" s="23" t="str">
        <x:v>thesis</x:v>
      </x:c>
      <x:c r="K158" s="50" t="str">
        <x:v>AAOI가 2027년 3분기에 분기 매출 14억 달러를 달성할 것이며, 이는 연간 56억 달러로 시가총액 80억 달러 대비 저평가되어 있음.</x:v>
      </x:c>
      <x:c r="L158" s="50" t="str">
        <x:v>Agreed! It’s nice to remember your thesis during a market crash.
From my own personal thesis, if $AAOI hits $1.4B quarterly revenue start of Q3 2027. Which is annualized $5.6B off a $8B MC. 
Is it “over” for the company if that revenue ramp hasn’t even shown up in the quarterly earnings… when it’s 2026?
Same applies to my CPO sector exposure like $SIVE, an architecture shift led by $NVDA. 
If scale out volume ramps from H2 2026 into 2027, and scale up heavily volume ramps into 2028.
Is it “over” that $0 -&gt; $91B TAM expansion (per GS) hasn’t even hit yet?
With robotics like Agility, is it over in 2026 if the listing hasn’t even happened yet and humanoids haven’t ramped?
I personally think current market conditions are a reflection of liquidity and leverage, not individual fundamentals.
It’s brutal for everyone to see KOSPI, TW, Nikkei, and AI, space, robotics sector stocks crash recently. 
Especially when there’s a lot of irrational behavior stemming from those leverage.
In the end, we can’t tell you what stocks to buy, what timeframe you should sell, how to size your positions, or what you should do. 
Only share personal thoughts or research and track if they get validated over time.
So it’s extremely important to build your own thesis, since everyone has unique risk tolerance or investing timeframes.
And that usually leads to having higher conviction during crashes.</x:v>
      </x:c>
      <x:c r="M158" s="65" t="str">
        <x:v>https://x.com/aleabitoreddit/status/2078130772121399553</x:v>
      </x:c>
      <x:c r="N158" s="23" t="str">
        <x:v>vote 변경</x:v>
      </x:c>
    </x:row>
    <x:row r="159" ht="60" customHeight="1">
      <x:c r="A159" s="23" t="n">
        <x:v>144</x:v>
      </x:c>
      <x:c r="B159" s="23" t="str">
        <x:v>NVDA</x:v>
      </x:c>
      <x:c r="C159" s="53" t="n">
        <x:v>46220.61990740741</x:v>
      </x:c>
      <x:c r="D159" s="23" t="str">
        <x:v>aleabitoreddit</x:v>
      </x:c>
      <x:c r="E159" s="23" t="str">
        <x:v>bullish</x:v>
      </x:c>
      <x:c r="F159" s="34" t="n">
        <x:v>0.9</x:v>
      </x:c>
      <x:c r="G159" s="23" t="str">
        <x:v>auto</x:v>
      </x:c>
      <x:c r="H159" s="23"/>
      <x:c r="I159" s="23" t="str">
        <x:v>new_claim</x:v>
      </x:c>
      <x:c r="J159" s="23" t="str">
        <x:v>thesis</x:v>
      </x:c>
      <x:c r="K159" s="50" t="str">
        <x:v>NVDA는 아키텍처 변화를 주도하며, TAM이 0에서 910억 달러로 확장될 것임.</x:v>
      </x:c>
      <x:c r="L159" s="50" t="str">
        <x:v>Agreed! It’s nice to remember your thesis during a market crash.
From my own personal thesis, if $AAOI hits $1.4B quarterly revenue start of Q3 2027. Which is annualized $5.6B off a $8B MC. 
Is it “over” for the company if that revenue ramp hasn’t even shown up in the quarterly earnings… when it’s 2026?
Same applies to my CPO sector exposure like $SIVE, an architecture shift led by $NVDA. 
If scale out volume ramps from H2 2026 into 2027, and scale up heavily volume ramps into 2028.
Is it “over” that $0 -&gt; $91B TAM expansion (per GS) hasn’t even hit yet?
With robotics like Agility, is it over in 2026 if the listing hasn’t even happened yet and humanoids haven’t ramped?
I personally think current market conditions are a reflection of liquidity and leverage, not individual fundamentals.
It’s brutal for everyone to see KOSPI, TW, Nikkei, and AI, space, robotics sector stocks crash recently. 
Especially when there’s a lot of irrational behavior stemming from those leverage.
In the end, we can’t tell you what stocks to buy, what timeframe you should sell, how to size your positions, or what you should do. 
Only share personal thoughts or research and track if they get validated over time.
So it’s extremely important to build your own thesis, since everyone has unique risk tolerance or investing timeframes.
And that usually leads to having higher conviction during crashes.</x:v>
      </x:c>
      <x:c r="M159" s="65" t="str">
        <x:v>https://x.com/aleabitoreddit/status/2078130772121399553</x:v>
      </x:c>
      <x:c r="N159" s="23" t="str">
        <x:v>vote 변경</x:v>
      </x:c>
    </x:row>
    <x:row r="160" ht="60" customHeight="1">
      <x:c r="A160" s="23" t="n">
        <x:v>1210</x:v>
      </x:c>
      <x:c r="B160" s="23" t="str">
        <x:v>NVDA</x:v>
      </x:c>
      <x:c r="C160" s="53" t="n">
        <x:v>46220.6505787037</x:v>
      </x:c>
      <x:c r="D160" s="23" t="str">
        <x:v>Beth_Kindig</x:v>
      </x:c>
      <x:c r="E160" s="23" t="str">
        <x:v>bullish</x:v>
      </x:c>
      <x:c r="F160" s="34" t="n">
        <x:v>0.6</x:v>
      </x:c>
      <x:c r="G160" s="23" t="str">
        <x:v>needs_review</x:v>
      </x:c>
      <x:c r="H160" s="23" t="str">
        <x:v>stance</x:v>
      </x:c>
      <x:c r="I160" s="23" t="str">
        <x:v>first_mention</x:v>
      </x:c>
      <x:c r="J160" s="23" t="str">
        <x:v>catalyst</x:v>
      </x:c>
      <x:c r="K160" s="50" t="str">
        <x:v>메타의 데이터센터 투자는 엔비디아 GPU 수요 증가로 이어질 것</x:v>
      </x:c>
      <x:c r="L160" s="50" t="str">
        <x:v>Meta is building its first data Canadian data center in Alberta, with the 1GW facility expected to see an investment of around $9.2 billion.
$META $NVDA $AMD $AVGO</x:v>
      </x:c>
      <x:c r="M160" s="65" t="str">
        <x:v>https://x.com/Beth_Kindig/status/2078141887421047293</x:v>
      </x:c>
      <x:c r="N160" s="23" t="str">
        <x:v>제외</x:v>
      </x:c>
    </x:row>
    <x:row r="161" ht="60" customHeight="1">
      <x:c r="A161" s="23" t="n">
        <x:v>5</x:v>
      </x:c>
      <x:c r="B161" s="23" t="str">
        <x:v>AAOI</x:v>
      </x:c>
      <x:c r="C161" s="53" t="n">
        <x:v>46220.97556712963</x:v>
      </x:c>
      <x:c r="D161" s="23" t="str">
        <x:v>aleabitoreddit</x:v>
      </x:c>
      <x:c r="E161" s="23" t="str">
        <x:v>bullish</x:v>
      </x:c>
      <x:c r="F161" s="34" t="n">
        <x:v>0.8</x:v>
      </x:c>
      <x:c r="G161" s="23" t="str">
        <x:v>auto</x:v>
      </x:c>
      <x:c r="H161" s="23"/>
      <x:c r="I161" s="23" t="str">
        <x:v>first_mention</x:v>
      </x:c>
      <x:c r="J161" s="23" t="str">
        <x:v>growth</x:v>
      </x:c>
      <x:c r="K161" s="50" t="str">
        <x:v>AAOI의 월 매출 추정치가 2027년 하반기부터 4억7100만 달러이며, 800G 수요 상향 조정 시 추가 상승 가능</x:v>
      </x:c>
      <x:c r="L161" s="50" t="str">
        <x:v>@waynexonline $AAOI themselves gave a $471m / month estimate starting H2 2027.
If 800g gets revised up sharply across the board, that number might get hiked.</x:v>
      </x:c>
      <x:c r="M161" s="65" t="str">
        <x:v>https://x.com/aleabitoreddit/status/2078259660784910661</x:v>
      </x:c>
      <x:c r="N161" s="23" t="str">
        <x:v>vote 변경</x:v>
      </x:c>
    </x:row>
    <x:row r="162" ht="60" customHeight="1">
      <x:c r="A162" s="23" t="n">
        <x:v>6</x:v>
      </x:c>
      <x:c r="B162" s="23" t="str">
        <x:v>AAOI</x:v>
      </x:c>
      <x:c r="C162" s="53" t="n">
        <x:v>46221.011041666665</x:v>
      </x:c>
      <x:c r="D162" s="23" t="str">
        <x:v>aleabitoreddit</x:v>
      </x:c>
      <x:c r="E162" s="23" t="str">
        <x:v>bullish</x:v>
      </x:c>
      <x:c r="F162" s="34" t="n">
        <x:v>0.8</x:v>
      </x:c>
      <x:c r="G162" s="23" t="str">
        <x:v>auto</x:v>
      </x:c>
      <x:c r="H162" s="23"/>
      <x:c r="I162" s="23" t="str">
        <x:v>first_mention</x:v>
      </x:c>
      <x:c r="J162" s="23" t="str">
        <x:v>valuation</x:v>
      </x:c>
      <x:c r="K162" s="50" t="str">
        <x:v>AAOI의 2027년 3분기 분기 매출 14억 달러 전망과 40%+ GAAP 총이익률 목표를 고려할 때, 현재 시가총액 80억 달러는 저평가되어 있으며, 낮은 20배 선행 PER을 적용하면 재평가 가능성이 있음.</x:v>
      </x:c>
      <x:c r="L162" s="50" t="str">
        <x:v>If $AAOI are projecting $1.4B a quarter q3 2027 ($471m/month), which is $5.6B revenue annualized, (targeting 40%+ gaap gross margins).
And they’re a $8B MC… 
Or if personal $SIVE CW Win capacity projections are around ~$400m midpoint array revenue off 60% gross margins.
And that’s a $1B MC.
Just applying a low 20 fwd p/e might rerate optical names considerably. 
Even with other names like $LITE, they’re completely sold out for the next 2 years, and having that sort of demand visibility… Is not a bubble.
Europeans tend to use TTM to value companies while optical names are 2027-2028 growth stories.</x:v>
      </x:c>
      <x:c r="M162" s="65" t="str">
        <x:v>https://x.com/aleabitoreddit/status/2078272513755263319</x:v>
      </x:c>
      <x:c r="N162" s="23" t="str">
        <x:v>vote 변경</x:v>
      </x:c>
    </x:row>
    <x:row r="163" ht="60" customHeight="1">
      <x:c r="A163" s="23" t="n">
        <x:v>8</x:v>
      </x:c>
      <x:c r="B163" s="23" t="str">
        <x:v>LITE</x:v>
      </x:c>
      <x:c r="C163" s="53" t="n">
        <x:v>46221.011041666665</x:v>
      </x:c>
      <x:c r="D163" s="23" t="str">
        <x:v>aleabitoreddit</x:v>
      </x:c>
      <x:c r="E163" s="23" t="str">
        <x:v>bullish</x:v>
      </x:c>
      <x:c r="F163" s="34" t="n">
        <x:v>0.8</x:v>
      </x:c>
      <x:c r="G163" s="23" t="str">
        <x:v>auto</x:v>
      </x:c>
      <x:c r="H163" s="23"/>
      <x:c r="I163" s="23" t="str">
        <x:v>first_mention</x:v>
      </x:c>
      <x:c r="J163" s="23" t="str">
        <x:v>growth</x:v>
      </x:c>
      <x:c r="K163" s="50" t="str">
        <x:v>LITE는 향후 2년간 완전히 매진되었으며, 이러한 수요 가시성은 거품이 아님을 시사함.</x:v>
      </x:c>
      <x:c r="L163" s="50" t="str">
        <x:v>If $AAOI are projecting $1.4B a quarter q3 2027 ($471m/month), which is $5.6B revenue annualized, (targeting 40%+ gaap gross margins).
And they’re a $8B MC… 
Or if personal $SIVE CW Win capacity projections are around ~$400m midpoint array revenue off 60% gross margins.
And that’s a $1B MC.
Just applying a low 20 fwd p/e might rerate optical names considerably. 
Even with other names like $LITE, they’re completely sold out for the next 2 years, and having that sort of demand visibility… Is not a bubble.
Europeans tend to use TTM to value companies while optical names are 2027-2028 growth stories.</x:v>
      </x:c>
      <x:c r="M163" s="65" t="str">
        <x:v>https://x.com/aleabitoreddit/status/2078272513755263319</x:v>
      </x:c>
      <x:c r="N163" s="23" t="str">
        <x:v>vote 변경</x:v>
      </x:c>
    </x:row>
    <x:row r="164" ht="60" customHeight="1">
      <x:c r="A164" s="23" t="n">
        <x:v>1221</x:v>
      </x:c>
      <x:c r="B164" s="23" t="str">
        <x:v>NVDA</x:v>
      </x:c>
      <x:c r="C164" s="53" t="n">
        <x:v>46221.83925925926</x:v>
      </x:c>
      <x:c r="D164" s="23" t="str">
        <x:v>Beth_Kindig</x:v>
      </x:c>
      <x:c r="E164" s="23" t="str">
        <x:v>bullish</x:v>
      </x:c>
      <x:c r="F164" s="34" t="n">
        <x:v>0.7</x:v>
      </x:c>
      <x:c r="G164" s="23" t="str">
        <x:v>needs_review</x:v>
      </x:c>
      <x:c r="H164" s="23" t="str">
        <x:v>stance</x:v>
      </x:c>
      <x:c r="I164" s="23" t="str">
        <x:v>first_mention</x:v>
      </x:c>
      <x:c r="J164" s="23" t="str">
        <x:v>growth</x:v>
      </x:c>
      <x:c r="K164" s="50" t="str">
        <x:v>데이터센터 전력 소비 증가는 AI 수요 강세를 반영하며, NVDA에 긍정적</x:v>
      </x:c>
      <x:c r="L164" s="50" t="str">
        <x:v>Global data center electricity consumption is forecast to rise 26% this year to 565 TWh, up from 447 TWh in 2025, per Gartner, driven by strong AI demand. 
$MSFT $META $AMZN $GOOG $NVDA</x:v>
      </x:c>
      <x:c r="M164" s="65" t="str">
        <x:v>https://x.com/Beth_Kindig/status/2078572648838107420</x:v>
      </x:c>
      <x:c r="N164" s="23" t="str">
        <x:v>제외</x:v>
      </x:c>
    </x:row>
    <x:row r="165" ht="60" customHeight="1">
      <x:c r="A165" s="23" t="n">
        <x:v>1266</x:v>
      </x:c>
      <x:c r="B165" s="23" t="str">
        <x:v>NVDA</x:v>
      </x:c>
      <x:c r="C165" s="53" t="n">
        <x:v>46222.59247685185</x:v>
      </x:c>
      <x:c r="D165" s="23" t="str">
        <x:v>StockSavvyShay</x:v>
      </x:c>
      <x:c r="E165" s="23" t="str">
        <x:v>neutral</x:v>
      </x:c>
      <x:c r="F165" s="34" t="n">
        <x:v>0.5</x:v>
      </x:c>
      <x:c r="G165" s="23" t="str">
        <x:v>needs_review</x:v>
      </x:c>
      <x:c r="H165" s="23" t="str">
        <x:v>stance</x:v>
      </x:c>
      <x:c r="I165" s="23"/>
      <x:c r="J165" s="23" t="str">
        <x:v>valuation</x:v>
      </x:c>
      <x:c r="K165" s="50" t="str">
        <x:v>PEG 0.7배로 저평가 가능성</x:v>
      </x:c>
      <x:c r="L165" s="50" t="str">
        <x:v>SEMICONDUCTOR STOCKS BY PEG RATIO
PEG &lt; 1 usually means mispriced growth
PEG &gt; 2 starts to push into the danger zone
Here’s how they stack up:
• $LRCX ~2.3x
• $ALAB ~2.1x
• $INTC ~1.9x
• $ANET ~1.8x
• $ARM ~1.6x
• $KLAC ~1.3x
• $AMAT ~1.2x
• $ASML ~1.0x
• $TSM ~0.9x
• $AMD ~0.7x
• $NVDA ~0.7x
• $CRDO ~0.6x
• $COHR ~0.6x
• $LITE ~0.5x
• $AVGO ~0.5x
• $MRVL ~0.5x
• $AAOI ~0.4x
• $ON ~0.4x
• $SNDK ~0.2x
• $MU ~0.2x
• $SKHY ~0.1x</x:v>
      </x:c>
      <x:c r="M165" s="65" t="str">
        <x:v>https://x.com/StockSavvyShay/status/2078845605133324716</x:v>
      </x:c>
      <x:c r="N165" s="23" t="str">
        <x:v>제외</x:v>
      </x:c>
    </x:row>
    <x:row r="166" ht="60" customHeight="1">
      <x:c r="A166" s="23" t="n">
        <x:v>1268</x:v>
      </x:c>
      <x:c r="B166" s="23" t="str">
        <x:v>COHR</x:v>
      </x:c>
      <x:c r="C166" s="53" t="n">
        <x:v>46222.59247685185</x:v>
      </x:c>
      <x:c r="D166" s="23" t="str">
        <x:v>StockSavvyShay</x:v>
      </x:c>
      <x:c r="E166" s="23" t="str">
        <x:v>neutral</x:v>
      </x:c>
      <x:c r="F166" s="34" t="n">
        <x:v>0.5</x:v>
      </x:c>
      <x:c r="G166" s="23" t="str">
        <x:v>needs_review</x:v>
      </x:c>
      <x:c r="H166" s="23" t="str">
        <x:v>stance</x:v>
      </x:c>
      <x:c r="I166" s="23"/>
      <x:c r="J166" s="23" t="str">
        <x:v>valuation</x:v>
      </x:c>
      <x:c r="K166" s="50" t="str">
        <x:v>PEG 0.6배로 저평가 가능성</x:v>
      </x:c>
      <x:c r="L166" s="50" t="str">
        <x:v>SEMICONDUCTOR STOCKS BY PEG RATIO
PEG &lt; 1 usually means mispriced growth
PEG &gt; 2 starts to push into the danger zone
Here’s how they stack up:
• $LRCX ~2.3x
• $ALAB ~2.1x
• $INTC ~1.9x
• $ANET ~1.8x
• $ARM ~1.6x
• $KLAC ~1.3x
• $AMAT ~1.2x
• $ASML ~1.0x
• $TSM ~0.9x
• $AMD ~0.7x
• $NVDA ~0.7x
• $CRDO ~0.6x
• $COHR ~0.6x
• $LITE ~0.5x
• $AVGO ~0.5x
• $MRVL ~0.5x
• $AAOI ~0.4x
• $ON ~0.4x
• $SNDK ~0.2x
• $MU ~0.2x
• $SKHY ~0.1x</x:v>
      </x:c>
      <x:c r="M166" s="65" t="str">
        <x:v>https://x.com/StockSavvyShay/status/2078845605133324716</x:v>
      </x:c>
      <x:c r="N166" s="23" t="str">
        <x:v>제외</x:v>
      </x:c>
    </x:row>
    <x:row r="167" ht="60" customHeight="1">
      <x:c r="A167" s="23" t="n">
        <x:v>1269</x:v>
      </x:c>
      <x:c r="B167" s="23" t="str">
        <x:v>LITE</x:v>
      </x:c>
      <x:c r="C167" s="53" t="n">
        <x:v>46222.59247685185</x:v>
      </x:c>
      <x:c r="D167" s="23" t="str">
        <x:v>StockSavvyShay</x:v>
      </x:c>
      <x:c r="E167" s="23" t="str">
        <x:v>neutral</x:v>
      </x:c>
      <x:c r="F167" s="34" t="n">
        <x:v>0.5</x:v>
      </x:c>
      <x:c r="G167" s="23" t="str">
        <x:v>needs_review</x:v>
      </x:c>
      <x:c r="H167" s="23" t="str">
        <x:v>stance</x:v>
      </x:c>
      <x:c r="I167" s="23"/>
      <x:c r="J167" s="23" t="str">
        <x:v>valuation</x:v>
      </x:c>
      <x:c r="K167" s="50" t="str">
        <x:v>PEG 0.5배로 저평가 가능성</x:v>
      </x:c>
      <x:c r="L167" s="50" t="str">
        <x:v>SEMICONDUCTOR STOCKS BY PEG RATIO
PEG &lt; 1 usually means mispriced growth
PEG &gt; 2 starts to push into the danger zone
Here’s how they stack up:
• $LRCX ~2.3x
• $ALAB ~2.1x
• $INTC ~1.9x
• $ANET ~1.8x
• $ARM ~1.6x
• $KLAC ~1.3x
• $AMAT ~1.2x
• $ASML ~1.0x
• $TSM ~0.9x
• $AMD ~0.7x
• $NVDA ~0.7x
• $CRDO ~0.6x
• $COHR ~0.6x
• $LITE ~0.5x
• $AVGO ~0.5x
• $MRVL ~0.5x
• $AAOI ~0.4x
• $ON ~0.4x
• $SNDK ~0.2x
• $MU ~0.2x
• $SKHY ~0.1x</x:v>
      </x:c>
      <x:c r="M167" s="65" t="str">
        <x:v>https://x.com/StockSavvyShay/status/2078845605133324716</x:v>
      </x:c>
      <x:c r="N167" s="23" t="str">
        <x:v>제외</x:v>
      </x:c>
    </x:row>
    <x:row r="168" ht="60" customHeight="1">
      <x:c r="A168" s="23" t="n">
        <x:v>1272</x:v>
      </x:c>
      <x:c r="B168" s="23" t="str">
        <x:v>AAOI</x:v>
      </x:c>
      <x:c r="C168" s="53" t="n">
        <x:v>46222.59247685185</x:v>
      </x:c>
      <x:c r="D168" s="23" t="str">
        <x:v>StockSavvyShay</x:v>
      </x:c>
      <x:c r="E168" s="23" t="str">
        <x:v>neutral</x:v>
      </x:c>
      <x:c r="F168" s="34" t="n">
        <x:v>0.5</x:v>
      </x:c>
      <x:c r="G168" s="23" t="str">
        <x:v>needs_review</x:v>
      </x:c>
      <x:c r="H168" s="23" t="str">
        <x:v>stance</x:v>
      </x:c>
      <x:c r="I168" s="23"/>
      <x:c r="J168" s="23" t="str">
        <x:v>valuation</x:v>
      </x:c>
      <x:c r="K168" s="50" t="str">
        <x:v>PEG 0.4배로 저평가 가능성</x:v>
      </x:c>
      <x:c r="L168" s="50" t="str">
        <x:v>SEMICONDUCTOR STOCKS BY PEG RATIO
PEG &lt; 1 usually means mispriced growth
PEG &gt; 2 starts to push into the danger zone
Here’s how they stack up:
• $LRCX ~2.3x
• $ALAB ~2.1x
• $INTC ~1.9x
• $ANET ~1.8x
• $ARM ~1.6x
• $KLAC ~1.3x
• $AMAT ~1.2x
• $ASML ~1.0x
• $TSM ~0.9x
• $AMD ~0.7x
• $NVDA ~0.7x
• $CRDO ~0.6x
• $COHR ~0.6x
• $LITE ~0.5x
• $AVGO ~0.5x
• $MRVL ~0.5x
• $AAOI ~0.4x
• $ON ~0.4x
• $SNDK ~0.2x
• $MU ~0.2x
• $SKHY ~0.1x</x:v>
      </x:c>
      <x:c r="M168" s="65" t="str">
        <x:v>https://x.com/StockSavvyShay/status/2078845605133324716</x:v>
      </x:c>
      <x:c r="N168" s="23" t="str">
        <x:v>제외</x:v>
      </x:c>
    </x:row>
    <x:row r="169" ht="60" customHeight="1">
      <x:c r="A169" s="23" t="n">
        <x:v>1305</x:v>
      </x:c>
      <x:c r="B169" s="23" t="str">
        <x:v>NVDA</x:v>
      </x:c>
      <x:c r="C169" s="53" t="n">
        <x:v>46222.92365740741</x:v>
      </x:c>
      <x:c r="D169" s="23" t="str">
        <x:v>Beth_Kindig</x:v>
      </x:c>
      <x:c r="E169" s="23" t="str">
        <x:v>neutral</x:v>
      </x:c>
      <x:c r="F169" s="34" t="n">
        <x:v>0.5</x:v>
      </x:c>
      <x:c r="G169" s="23" t="str">
        <x:v>needs_review</x:v>
      </x:c>
      <x:c r="H169" s="23" t="str">
        <x:v>stance</x:v>
      </x:c>
      <x:c r="I169" s="23"/>
      <x:c r="J169" s="23" t="str">
        <x:v>growth</x:v>
      </x:c>
      <x:c r="K169" s="50" t="str">
        <x:v>AI 서버 전력 소비 증가로 수혜 가능성</x:v>
      </x:c>
      <x:c r="L169" s="50" t="str">
        <x:v>AI-optimized servers consumed around 95 TWh of electricity globally last year, with this projected to rise 84% to 175 TWh in 2026.
$NVDA $AMD $AVGO</x:v>
      </x:c>
      <x:c r="M169" s="65" t="str">
        <x:v>https://x.com/Beth_Kindig/status/2078965624680661037</x:v>
      </x:c>
      <x:c r="N169" s="23" t="str">
        <x:v>제외</x:v>
      </x:c>
    </x:row>
    <x:row r="170" ht="60" customHeight="1">
      <x:c r="A170" s="23" t="n">
        <x:v>1311</x:v>
      </x:c>
      <x:c r="B170" s="23" t="str">
        <x:v>NVDA</x:v>
      </x:c>
      <x:c r="C170" s="53" t="n">
        <x:v>46222.94520833333</x:v>
      </x:c>
      <x:c r="D170" s="23" t="str">
        <x:v>StockSavvyShay</x:v>
      </x:c>
      <x:c r="E170" s="23" t="str">
        <x:v>neutral</x:v>
      </x:c>
      <x:c r="F170" s="34" t="n">
        <x:v>0.5</x:v>
      </x:c>
      <x:c r="G170" s="23" t="str">
        <x:v>needs_review</x:v>
      </x:c>
      <x:c r="H170" s="23" t="str">
        <x:v>stance</x:v>
      </x:c>
      <x:c r="I170" s="23" t="str">
        <x:v>first_mention</x:v>
      </x:c>
      <x:c r="J170" s="23" t="str">
        <x:v>other</x:v>
      </x:c>
      <x:c r="K170" s="50"/>
      <x:c r="L170" s="50" t="str">
        <x:v>@WOLF_Financial I really do think HBM specifically for $MU and $SKHY has been de-cyclicalized by the $NVDA cadence</x:v>
      </x:c>
      <x:c r="M170" s="65" t="str">
        <x:v>https://x.com/StockSavvyShay/status/2078973432398758154</x:v>
      </x:c>
      <x:c r="N170" s="23" t="str">
        <x:v>제외</x:v>
      </x:c>
    </x:row>
    <x:row r="171" ht="60" customHeight="1">
      <x:c r="A171" s="23" t="n">
        <x:v>1316</x:v>
      </x:c>
      <x:c r="B171" s="23" t="str">
        <x:v>NVDA</x:v>
      </x:c>
      <x:c r="C171" s="53" t="n">
        <x:v>46222.963171296295</x:v>
      </x:c>
      <x:c r="D171" s="23" t="str">
        <x:v>StockSavvyShay</x:v>
      </x:c>
      <x:c r="E171" s="23" t="str">
        <x:v>bullish</x:v>
      </x:c>
      <x:c r="F171" s="34" t="n">
        <x:v>0.6</x:v>
      </x:c>
      <x:c r="G171" s="23" t="str">
        <x:v>needs_review</x:v>
      </x:c>
      <x:c r="H171" s="23" t="str">
        <x:v>stance</x:v>
      </x:c>
      <x:c r="I171" s="23" t="str">
        <x:v>new_claim</x:v>
      </x:c>
      <x:c r="J171" s="23" t="str">
        <x:v>catalyst</x:v>
      </x:c>
      <x:c r="K171" s="50" t="str">
        <x:v>NVDA의 GB300 시스템에 대한 대규모 수요 확인</x:v>
      </x:c>
      <x:c r="L171" s="50" t="str">
        <x:v>Foxconn has broken into $DELL and $SMCI AI server duopoly by winning its first contract to manufacture $SPCX next-generation $NVDA GB300 systems.
The reported $52B deal would immediately establish Foxconn as a major AI server supplier. https://t.co/zistSwREFb</x:v>
      </x:c>
      <x:c r="M171" s="65" t="str">
        <x:v>https://x.com/StockSavvyShay/status/2078979940733817151</x:v>
      </x:c>
      <x:c r="N171" s="23" t="str">
        <x:v>제외</x:v>
      </x:c>
    </x:row>
    <x:row r="172" ht="60" customHeight="1">
      <x:c r="A172" s="23" t="n">
        <x:v>1324</x:v>
      </x:c>
      <x:c r="B172" s="23" t="str">
        <x:v>ASTS</x:v>
      </x:c>
      <x:c r="C172" s="53" t="n">
        <x:v>46223.207349537035</x:v>
      </x:c>
      <x:c r="D172" s="23" t="str">
        <x:v>StockSavvyShay</x:v>
      </x:c>
      <x:c r="E172" s="23" t="str">
        <x:v>bullish</x:v>
      </x:c>
      <x:c r="F172" s="34" t="n">
        <x:v>0.8</x:v>
      </x:c>
      <x:c r="G172" s="23" t="str">
        <x:v>auto</x:v>
      </x:c>
      <x:c r="H172" s="23"/>
      <x:c r="I172" s="23" t="str">
        <x:v>first_mention</x:v>
      </x:c>
      <x:c r="J172" s="23" t="str">
        <x:v>catalyst</x:v>
      </x:c>
      <x:c r="K172" s="50" t="str">
        <x:v>ASTS가 800MHz 스펙트럼에서 표준 스마트폰을 사용한 직접 디바이스 광대역 테스트를 위해 FCC 승인을 신청했으며, 이는 T와 VZ의 대역과 인접해 있어 커버리지와 용량 확장 가능성이 있음.</x:v>
      </x:c>
      <x:c r="L172" s="50" t="str">
        <x:v>$ASTS filed for 30 day FCC authorization to test direct to device broadband on 800 MHz spectrum using standard smartphones.
The spectrum sits beside the $T and $VZ bands already leased to AST potentially expanding coverage and capacity. https://t.co/bSDnANlhKx</x:v>
      </x:c>
      <x:c r="M172" s="65" t="str">
        <x:v>https://x.com/StockSavvyShay/status/2079068431643791465</x:v>
      </x:c>
      <x:c r="N172" s="23" t="str">
        <x:v>vote 변경</x:v>
      </x:c>
    </x:row>
    <x:row r="173" ht="60" customHeight="1">
      <x:c r="A173" s="23" t="n">
        <x:v>1358</x:v>
      </x:c>
      <x:c r="B173" s="23" t="str">
        <x:v>ASTS</x:v>
      </x:c>
      <x:c r="C173" s="53" t="n">
        <x:v>46223.66127314815</x:v>
      </x:c>
      <x:c r="D173" s="23" t="str">
        <x:v>StockSavvyShay</x:v>
      </x:c>
      <x:c r="E173" s="23" t="str">
        <x:v>neutral</x:v>
      </x:c>
      <x:c r="F173" s="34" t="n">
        <x:v>0</x:v>
      </x:c>
      <x:c r="G173" s="23" t="str">
        <x:v>needs_review</x:v>
      </x:c>
      <x:c r="H173" s="23" t="str">
        <x:v>stance</x:v>
      </x:c>
      <x:c r="I173" s="23"/>
      <x:c r="J173" s="23" t="str">
        <x:v>other</x:v>
      </x:c>
      <x:c r="K173" s="50"/>
      <x:c r="L173" s="50" t="str">
        <x:v>$ASTS successfully deployed BlueBirds 9 and 10 in orbit adding two more of the world’s largest commercial communications arrays to its constellation.
BlueBirds 11 through 13 are now at Cape Canaveral ahead of launch while production has advanced through spacecraft 41. https://t.co/NlIU3wS894</x:v>
      </x:c>
      <x:c r="M173" s="65" t="str">
        <x:v>https://x.com/StockSavvyShay/status/2079232924390678839</x:v>
      </x:c>
      <x:c r="N173" s="23" t="str">
        <x:v>제외</x:v>
      </x:c>
    </x:row>
    <x:row r="174" ht="60" customHeight="1">
      <x:c r="A174" s="23" t="n">
        <x:v>1416</x:v>
      </x:c>
      <x:c r="B174" s="23" t="str">
        <x:v>NVDA</x:v>
      </x:c>
      <x:c r="C174" s="53" t="n">
        <x:v>46223.89148148148</x:v>
      </x:c>
      <x:c r="D174" s="23" t="str">
        <x:v>StockSavvyShay</x:v>
      </x:c>
      <x:c r="E174" s="23" t="str">
        <x:v>neutral</x:v>
      </x:c>
      <x:c r="F174" s="34" t="n">
        <x:v>0</x:v>
      </x:c>
      <x:c r="G174" s="23" t="str">
        <x:v>needs_review</x:v>
      </x:c>
      <x:c r="H174" s="23" t="str">
        <x:v>stance</x:v>
      </x:c>
      <x:c r="I174" s="23" t="str">
        <x:v>first_mention</x:v>
      </x:c>
      <x:c r="J174" s="23" t="str">
        <x:v>other</x:v>
      </x:c>
      <x:c r="K174" s="50" t="str">
        <x:v>엔비디아가 NBIS에 9.3% 수동적 지분을 보유하고 있음을 공시했습니다.</x:v>
      </x:c>
      <x:c r="L174" s="50" t="str">
        <x:v>$NVDA DISCLOSED A 9.3% PASSIVE STAKE IN $NBIS https://t.co/gbvI7pw1wV</x:v>
      </x:c>
      <x:c r="M174" s="65" t="str">
        <x:v>https://x.com/StockSavvyShay/status/2079316352008069167</x:v>
      </x:c>
      <x:c r="N174" s="23" t="str">
        <x:v>제외</x:v>
      </x:c>
    </x:row>
    <x:row r="175" ht="60" customHeight="1">
      <x:c r="A175" s="23" t="n">
        <x:v>1414</x:v>
      </x:c>
      <x:c r="B175" s="23" t="str">
        <x:v>NVDA</x:v>
      </x:c>
      <x:c r="C175" s="53" t="n">
        <x:v>46223.89530092593</x:v>
      </x:c>
      <x:c r="D175" s="23" t="str">
        <x:v>StockMKTNewz</x:v>
      </x:c>
      <x:c r="E175" s="23" t="str">
        <x:v>neutral</x:v>
      </x:c>
      <x:c r="F175" s="34" t="n">
        <x:v>1</x:v>
      </x:c>
      <x:c r="G175" s="23" t="str">
        <x:v>auto</x:v>
      </x:c>
      <x:c r="H175" s="23"/>
      <x:c r="I175" s="23" t="str">
        <x:v>first_mention</x:v>
      </x:c>
      <x:c r="J175" s="23" t="str">
        <x:v>other</x:v>
      </x:c>
      <x:c r="K175" s="50" t="str">
        <x:v>엔비디아가 Nebius 지분 9.3%를 보유하고 있음을 공시했습니다.</x:v>
      </x:c>
      <x:c r="L175" s="50" t="str">
        <x:v>Nvidia $NVDA just disclosed that it currently owns 22,256,412 shares of Nebius $NBIS stock representing 9.3% of the company https://t.co/omkGXzRYjj</x:v>
      </x:c>
      <x:c r="M175" s="65" t="str">
        <x:v>https://x.com/StockMKTNewz/status/2079317735582896137</x:v>
      </x:c>
      <x:c r="N175" s="23" t="str">
        <x:v>근거만</x:v>
      </x:c>
    </x:row>
    <x:row r="176" ht="60" customHeight="1">
      <x:c r="A176" s="23" t="n">
        <x:v>1419</x:v>
      </x:c>
      <x:c r="B176" s="23" t="str">
        <x:v>NVDA</x:v>
      </x:c>
      <x:c r="C176" s="53" t="n">
        <x:v>46223.901550925926</x:v>
      </x:c>
      <x:c r="D176" s="23" t="str">
        <x:v>aleabitoreddit</x:v>
      </x:c>
      <x:c r="E176" s="23" t="str">
        <x:v>neutral</x:v>
      </x:c>
      <x:c r="F176" s="34" t="n">
        <x:v>0</x:v>
      </x:c>
      <x:c r="G176" s="23" t="str">
        <x:v>needs_review</x:v>
      </x:c>
      <x:c r="H176" s="23" t="str">
        <x:v>stance</x:v>
      </x:c>
      <x:c r="I176" s="23"/>
      <x:c r="J176" s="23" t="str">
        <x:v>other</x:v>
      </x:c>
      <x:c r="K176" s="50"/>
      <x:c r="L176" s="50" t="str">
        <x:v>If you’re curious why $NBIS is up after hours.
$NVDA disclosed it owns 9.3% beneficial ownership of Nebius via SEC filings.
Not exactly too new since it dates back to Nvidia’s existing share position of 1.19M shares + $2B prefunded warrant of ~21M shares.
But great for sentiment having Nvidia be a large shareholder of the Neocloud leader.</x:v>
      </x:c>
      <x:c r="M176" s="65" t="str">
        <x:v>https://x.com/aleabitoreddit/status/2079319999915925938</x:v>
      </x:c>
      <x:c r="N176" s="23" t="str">
        <x:v>제외</x:v>
      </x:c>
    </x:row>
    <x:row r="177" ht="60" customHeight="1">
      <x:c r="A177" s="23" t="n">
        <x:v>1421</x:v>
      </x:c>
      <x:c r="B177" s="23" t="str">
        <x:v>NVDA</x:v>
      </x:c>
      <x:c r="C177" s="53" t="n">
        <x:v>46223.91784722222</x:v>
      </x:c>
      <x:c r="D177" s="23" t="str">
        <x:v>StockSavvyShay</x:v>
      </x:c>
      <x:c r="E177" s="23" t="str">
        <x:v>neutral</x:v>
      </x:c>
      <x:c r="F177" s="34" t="n">
        <x:v>0.9</x:v>
      </x:c>
      <x:c r="G177" s="23" t="str">
        <x:v>auto</x:v>
      </x:c>
      <x:c r="H177" s="23"/>
      <x:c r="I177" s="23" t="str">
        <x:v>new_claim</x:v>
      </x:c>
      <x:c r="J177" s="23" t="str">
        <x:v>other</x:v>
      </x:c>
      <x:c r="K177" s="50" t="str">
        <x:v>NVDA의 주가 상승은 새로운 정보가 아니라 기존 주식과 워런트를 반영한 것임</x:v>
      </x:c>
      <x:c r="L177" s="50" t="str">
        <x:v>By the way this isn’t new since it reflects $NVDA existing position of shares plus a warrant covering roughly 21 million shares so I’m surprised the stock is up after hours https://t.co/Te9x0b51Xi</x:v>
      </x:c>
      <x:c r="M177" s="65" t="str">
        <x:v>https://x.com/StockSavvyShay/status/2079325904283832517</x:v>
      </x:c>
      <x:c r="N177" s="23" t="str">
        <x:v>근거만</x:v>
      </x:c>
    </x:row>
    <x:row r="178" ht="60" customHeight="1">
      <x:c r="A178" s="23" t="n">
        <x:v>1423</x:v>
      </x:c>
      <x:c r="B178" s="23" t="str">
        <x:v>ASTS</x:v>
      </x:c>
      <x:c r="C178" s="53" t="n">
        <x:v>46223.94960648148</x:v>
      </x:c>
      <x:c r="D178" s="23" t="str">
        <x:v>StockSavvyShay</x:v>
      </x:c>
      <x:c r="E178" s="23" t="str">
        <x:v>bearish</x:v>
      </x:c>
      <x:c r="F178" s="34" t="n">
        <x:v>0.8</x:v>
      </x:c>
      <x:c r="G178" s="23" t="str">
        <x:v>auto</x:v>
      </x:c>
      <x:c r="H178" s="23"/>
      <x:c r="I178" s="23" t="str">
        <x:v>first_mention</x:v>
      </x:c>
      <x:c r="J178" s="23" t="str">
        <x:v>risk</x:v>
      </x:c>
      <x:c r="K178" s="50" t="str">
        <x:v>궤도 위성 수 부족으로 인한 경쟁 열위</x:v>
      </x:c>
      <x:c r="L178" s="50" t="str">
        <x:v>Scotiabank says $SPCX Starlink Mobile is coming soon to Brazil which would become its third largest market by population after the U.S. and Nigeria.
The launch could give Starlink’s regional partners at least a two year lead as $ASTS has only 10 BlueBirds in orbit versus ~90 needed for global coverage.
The firm estimates rival services may not reach South America until late 2028 or early 2029 while Starlink Mobile already operates ~650 satellites.</x:v>
      </x:c>
      <x:c r="M178" s="65" t="str">
        <x:v>https://x.com/StockSavvyShay/status/2079337412711559373</x:v>
      </x:c>
      <x:c r="N178" s="23" t="str">
        <x:v>vote 변경</x:v>
      </x:c>
    </x:row>
    <x:row r="179" ht="60" customHeight="1">
      <x:c r="A179" s="23" t="n">
        <x:v>1424</x:v>
      </x:c>
      <x:c r="B179" s="23" t="str">
        <x:v>ASTS</x:v>
      </x:c>
      <x:c r="C179" s="53" t="n">
        <x:v>46223.97476851852</x:v>
      </x:c>
      <x:c r="D179" s="23" t="str">
        <x:v>StockSavvyShay</x:v>
      </x:c>
      <x:c r="E179" s="23" t="str">
        <x:v>bearish</x:v>
      </x:c>
      <x:c r="F179" s="34" t="n">
        <x:v>0.9</x:v>
      </x:c>
      <x:c r="G179" s="23" t="str">
        <x:v>auto</x:v>
      </x:c>
      <x:c r="H179" s="23"/>
      <x:c r="I179" s="23" t="str">
        <x:v>first_mention</x:v>
      </x:c>
      <x:c r="J179" s="23" t="str">
        <x:v>risk</x:v>
      </x:c>
      <x:c r="K179" s="50" t="str">
        <x:v>회사가 큰 손실을 보고 있으며, 이런 유형의 주식이 현재 시장에서 선호되지 않음</x:v>
      </x:c>
      <x:c r="L179" s="50" t="str">
        <x:v>Jim Cramer says $ASTS is “losing a fortune” and that stocks like it are now out of favor. https://t.co/zXA9NZld8n</x:v>
      </x:c>
      <x:c r="M179" s="65" t="str">
        <x:v>https://x.com/StockSavvyShay/status/2079346531803779129</x:v>
      </x:c>
      <x:c r="N179" s="23" t="str">
        <x:v>vote 변경</x:v>
      </x:c>
    </x:row>
    <x:row r="180" ht="60" customHeight="1">
      <x:c r="A180" s="23" t="n">
        <x:v>1428</x:v>
      </x:c>
      <x:c r="B180" s="23" t="str">
        <x:v>LITE</x:v>
      </x:c>
      <x:c r="C180" s="53" t="n">
        <x:v>46224.34239583334</x:v>
      </x:c>
      <x:c r="D180" s="23" t="str">
        <x:v>aleabitoreddit</x:v>
      </x:c>
      <x:c r="E180" s="23" t="str">
        <x:v>bullish</x:v>
      </x:c>
      <x:c r="F180" s="34" t="n">
        <x:v>0.7</x:v>
      </x:c>
      <x:c r="G180" s="23" t="str">
        <x:v>needs_review</x:v>
      </x:c>
      <x:c r="H180" s="23" t="str">
        <x:v>stance</x:v>
      </x:c>
      <x:c r="I180" s="23"/>
      <x:c r="J180" s="23" t="str">
        <x:v>catalyst</x:v>
      </x:c>
      <x:c r="K180" s="50" t="str">
        <x:v>광학 네트워킹 부문에서 회복 조짐을 보이며 상승 중</x:v>
      </x:c>
      <x:c r="L180" s="50" t="str">
        <x:v>Memory names from Kioxia finished up a whopping +17.18%. Samsung up +6.15%. 
Optical networking from $SIVE, $LITE, and $AAOI are showing signs of recovery, all up 4%+. 
Neoclouds from $NBIS to $IREN all up 4%+ premarket. 
$INTC to $AMD to $MRVL all up 4%+. 
Does the Cramer effect work on the entire AI trade?</x:v>
      </x:c>
      <x:c r="M180" s="65" t="str">
        <x:v>https://x.com/aleabitoreddit/status/2079479755481776221</x:v>
      </x:c>
      <x:c r="N180" s="23" t="str">
        <x:v>제외</x:v>
      </x:c>
    </x:row>
    <x:row r="181" ht="60" customHeight="1">
      <x:c r="A181" s="23" t="n">
        <x:v>1429</x:v>
      </x:c>
      <x:c r="B181" s="23" t="str">
        <x:v>AAOI</x:v>
      </x:c>
      <x:c r="C181" s="53" t="n">
        <x:v>46224.34239583334</x:v>
      </x:c>
      <x:c r="D181" s="23" t="str">
        <x:v>aleabitoreddit</x:v>
      </x:c>
      <x:c r="E181" s="23" t="str">
        <x:v>bullish</x:v>
      </x:c>
      <x:c r="F181" s="34" t="n">
        <x:v>0.7</x:v>
      </x:c>
      <x:c r="G181" s="23" t="str">
        <x:v>needs_review</x:v>
      </x:c>
      <x:c r="H181" s="23" t="str">
        <x:v>stance</x:v>
      </x:c>
      <x:c r="I181" s="23"/>
      <x:c r="J181" s="23" t="str">
        <x:v>catalyst</x:v>
      </x:c>
      <x:c r="K181" s="50" t="str">
        <x:v>광학 네트워킹 부문에서 회복 조짐을 보이며 상승 중</x:v>
      </x:c>
      <x:c r="L181" s="50" t="str">
        <x:v>Memory names from Kioxia finished up a whopping +17.18%. Samsung up +6.15%. 
Optical networking from $SIVE, $LITE, and $AAOI are showing signs of recovery, all up 4%+. 
Neoclouds from $NBIS to $IREN all up 4%+ premarket. 
$INTC to $AMD to $MRVL all up 4%+. 
Does the Cramer effect work on the entire AI trade?</x:v>
      </x:c>
      <x:c r="M181" s="65" t="str">
        <x:v>https://x.com/aleabitoreddit/status/2079479755481776221</x:v>
      </x:c>
      <x:c r="N181" s="23" t="str">
        <x:v>제외</x:v>
      </x:c>
    </x:row>
    <x:row r="182" ht="60" customHeight="1">
      <x:c r="A182" s="23" t="n">
        <x:v>1441</x:v>
      </x:c>
      <x:c r="B182" s="23" t="str">
        <x:v>AAOI</x:v>
      </x:c>
      <x:c r="C182" s="53" t="n">
        <x:v>46224.40383101852</x:v>
      </x:c>
      <x:c r="D182" s="23" t="str">
        <x:v>aleabitoreddit</x:v>
      </x:c>
      <x:c r="E182" s="23" t="str">
        <x:v>neutral</x:v>
      </x:c>
      <x:c r="F182" s="34" t="n">
        <x:v>0.5</x:v>
      </x:c>
      <x:c r="G182" s="23" t="str">
        <x:v>needs_review</x:v>
      </x:c>
      <x:c r="H182" s="23" t="str">
        <x:v>stance</x:v>
      </x:c>
      <x:c r="I182" s="23"/>
      <x:c r="J182" s="23" t="str">
        <x:v>other</x:v>
      </x:c>
      <x:c r="K182" s="50" t="str">
        <x:v>AMD가 AAOI의 고객이 될 가능성이 있음</x:v>
      </x:c>
      <x:c r="L182" s="50" t="str">
        <x:v>@CarterChen18 Think $AMD was in talks of being a customer of $AAOI, from Rosenblatt channel checks. 
Could be an option, I'll ask around in the event. https://t.co/8eDrSw9tCe</x:v>
      </x:c>
      <x:c r="M182" s="65" t="str">
        <x:v>https://x.com/aleabitoreddit/status/2079502019933732884</x:v>
      </x:c>
      <x:c r="N182" s="23" t="str">
        <x:v>제외</x:v>
      </x:c>
    </x:row>
    <x:row r="183" ht="60" customHeight="1">
      <x:c r="A183" s="23" t="n">
        <x:v>1456</x:v>
      </x:c>
      <x:c r="B183" s="23" t="str">
        <x:v>NVDA</x:v>
      </x:c>
      <x:c r="C183" s="53" t="n">
        <x:v>46224.52532407407</x:v>
      </x:c>
      <x:c r="D183" s="23" t="str">
        <x:v>StockMKTNewz</x:v>
      </x:c>
      <x:c r="E183" s="23" t="str">
        <x:v>neutral</x:v>
      </x:c>
      <x:c r="F183" s="34" t="n">
        <x:v>0.9</x:v>
      </x:c>
      <x:c r="G183" s="23" t="str">
        <x:v>auto</x:v>
      </x:c>
      <x:c r="H183" s="23"/>
      <x:c r="I183" s="23" t="str">
        <x:v>first_mention</x:v>
      </x:c>
      <x:c r="J183" s="23" t="str">
        <x:v>other</x:v>
      </x:c>
      <x:c r="K183" s="50" t="str">
        <x:v>Mistral이 NVIDIA Vera Rubin GPU를 사용하여 GPU 용량 추가</x:v>
      </x:c>
      <x:c r="L183" s="50" t="str">
        <x:v>Microsoft $MSFT and Mistral AI just announced a new expanded partnership to bring Mistral's models across Microsoft Foundry, Copilot Studio, and Azure
Underpinning it: a new multibillion-dollar agreement to expand AI infrastructure in Europe, with Mistral adding GPU capacity built on thousands of NVIDIA $NVDA Vera Rubin GPUs.
"Europe should have access to the world's most capable AI without compromising control over their data, operations or digital future." - Microsoft Vice Chair Brad Smith
The practical use case: regulated industries, healthcare, critical infrastructure, manufacturing, can run the same AI models and tools whether fully in the cloud, cloud-connected, or entirely offline, without redesigning their systems for each environment.</x:v>
      </x:c>
      <x:c r="M183" s="65" t="str">
        <x:v>https://x.com/StockMKTNewz/status/2079546047508910466</x:v>
      </x:c>
      <x:c r="N183" s="23" t="str">
        <x:v>근거만</x:v>
      </x:c>
    </x:row>
    <x:row r="184" ht="60" customHeight="1">
      <x:c r="A184" s="23" t="n">
        <x:v>1458</x:v>
      </x:c>
      <x:c r="B184" s="23" t="str">
        <x:v>NVDA</x:v>
      </x:c>
      <x:c r="C184" s="53" t="n">
        <x:v>46224.53224537037</x:v>
      </x:c>
      <x:c r="D184" s="23" t="str">
        <x:v>StockSavvyShay</x:v>
      </x:c>
      <x:c r="E184" s="23" t="str">
        <x:v>neutral</x:v>
      </x:c>
      <x:c r="F184" s="34" t="n">
        <x:v>0</x:v>
      </x:c>
      <x:c r="G184" s="23" t="str">
        <x:v>needs_review</x:v>
      </x:c>
      <x:c r="H184" s="23" t="str">
        <x:v>stance</x:v>
      </x:c>
      <x:c r="I184" s="23"/>
      <x:c r="J184" s="23" t="str">
        <x:v>other</x:v>
      </x:c>
      <x:c r="K184" s="50" t="str">
        <x:v>NVDA의 Vera Rubin GPU가 MSFT-Mistral AI 계약에 수천 개 사용됨</x:v>
      </x:c>
      <x:c r="L184" s="50" t="str">
        <x:v>$MSFT and Mistral AI expand their partnership through a multibillion dollar European infrastructure deal using thousands of $NVDA Vera Rubin GPUs.
The deal lets regulated industries run the same models across cloud and offline environments while retaining control of their data. https://t.co/iQ4AQuo092</x:v>
      </x:c>
      <x:c r="M184" s="65" t="str">
        <x:v>https://x.com/StockSavvyShay/status/2079548557082886293</x:v>
      </x:c>
      <x:c r="N184" s="23" t="str">
        <x:v>제외</x:v>
      </x:c>
    </x:row>
    <x:row r="185" ht="60" customHeight="1">
      <x:c r="A185" s="23" t="n">
        <x:v>1462</x:v>
      </x:c>
      <x:c r="B185" s="23" t="str">
        <x:v>NVDA</x:v>
      </x:c>
      <x:c r="C185" s="53" t="n">
        <x:v>46224.54877314815</x:v>
      </x:c>
      <x:c r="D185" s="23" t="str">
        <x:v>StockSavvyShay</x:v>
      </x:c>
      <x:c r="E185" s="23" t="str">
        <x:v>bullish</x:v>
      </x:c>
      <x:c r="F185" s="34" t="n">
        <x:v>0.8</x:v>
      </x:c>
      <x:c r="G185" s="23" t="str">
        <x:v>auto</x:v>
      </x:c>
      <x:c r="H185" s="23"/>
      <x:c r="I185" s="23"/>
      <x:c r="J185" s="23" t="str">
        <x:v>growth</x:v>
      </x:c>
      <x:c r="K185" s="50" t="str">
        <x:v>세계는 더 많은 NVDA GPU를 필요로 한다.</x:v>
      </x:c>
      <x:c r="L185" s="50" t="str">
        <x:v>@VanquishTrader The world needs more $NVDA GPUs</x:v>
      </x:c>
      <x:c r="M185" s="65" t="str">
        <x:v>https://x.com/StockSavvyShay/status/2079554546112815319</x:v>
      </x:c>
      <x:c r="N185" s="23" t="str">
        <x:v>vote 변경</x:v>
      </x:c>
    </x:row>
    <x:row r="186" ht="60" customHeight="1">
      <x:c r="A186" s="23" t="n">
        <x:v>1475</x:v>
      </x:c>
      <x:c r="B186" s="23" t="str">
        <x:v>NVDA</x:v>
      </x:c>
      <x:c r="C186" s="53" t="n">
        <x:v>46224.57355324074</x:v>
      </x:c>
      <x:c r="D186" s="23" t="str">
        <x:v>StockSavvyShay</x:v>
      </x:c>
      <x:c r="E186" s="23" t="str">
        <x:v>neutral</x:v>
      </x:c>
      <x:c r="F186" s="34" t="n">
        <x:v>0.5</x:v>
      </x:c>
      <x:c r="G186" s="23" t="str">
        <x:v>needs_review</x:v>
      </x:c>
      <x:c r="H186" s="23" t="str">
        <x:v>stance</x:v>
      </x:c>
      <x:c r="I186" s="23"/>
      <x:c r="J186" s="23" t="str">
        <x:v>other</x:v>
      </x:c>
      <x:c r="K186" s="50"/>
      <x:c r="L186" s="50" t="str">
        <x:v>The U.S. is now $SKHY largest market generating ~65% of revenue as AI infrastructure spending reshapes global memory demand.
$NVDA alone accounts for ~15% of revenue while SK Hynix’s 56% HBM share gives it direct exposure to the world’s best funded AI buyers. https://t.co/WOZAQDur0x</x:v>
      </x:c>
      <x:c r="M186" s="65" t="str">
        <x:v>https://x.com/StockSavvyShay/status/2079563525215969669</x:v>
      </x:c>
      <x:c r="N186" s="23" t="str">
        <x:v>제외</x:v>
      </x:c>
    </x:row>
    <x:row r="187" ht="60" customHeight="1">
      <x:c r="A187" s="23" t="n">
        <x:v>1478</x:v>
      </x:c>
      <x:c r="B187" s="23" t="str">
        <x:v>NVDA</x:v>
      </x:c>
      <x:c r="C187" s="53" t="n">
        <x:v>46224.60238425926</x:v>
      </x:c>
      <x:c r="D187" s="23" t="str">
        <x:v>StockSavvyShay</x:v>
      </x:c>
      <x:c r="E187" s="23" t="str">
        <x:v>bullish</x:v>
      </x:c>
      <x:c r="F187" s="34" t="n">
        <x:v>0.7</x:v>
      </x:c>
      <x:c r="G187" s="23" t="str">
        <x:v>needs_review</x:v>
      </x:c>
      <x:c r="H187" s="23" t="str">
        <x:v>stance</x:v>
      </x:c>
      <x:c r="I187" s="23" t="str">
        <x:v>new_claim</x:v>
      </x:c>
      <x:c r="J187" s="23" t="str">
        <x:v>thesis</x:v>
      </x:c>
      <x:c r="K187" s="50" t="str">
        <x:v>NVDA의 NBIS 지분 투자는 AI 컴퓨팅 수요 집계에 대한 깊은 관여를 보여줌</x:v>
      </x:c>
      <x:c r="L187" s="50" t="str">
        <x:v>$NBIS jumps more than 10% after $NVDA discloses a ~9% passive stake in Nebius.
The stake largely reflects previously announced shares and prefunded warrants but reinforces Nvidia’s deep involvement as Nebius aggregates AI compute demand for developers, enterprises and partners. https://t.co/ZKlD5N5pMs</x:v>
      </x:c>
      <x:c r="M187" s="65" t="str">
        <x:v>https://x.com/StockSavvyShay/status/2079573971440460000</x:v>
      </x:c>
      <x:c r="N187" s="23" t="str">
        <x:v>제외</x:v>
      </x:c>
    </x:row>
    <x:row r="188" ht="60" customHeight="1">
      <x:c r="A188" s="23" t="n">
        <x:v>1480</x:v>
      </x:c>
      <x:c r="B188" s="23" t="str">
        <x:v>ASTS</x:v>
      </x:c>
      <x:c r="C188" s="53" t="n">
        <x:v>46224.61516203704</x:v>
      </x:c>
      <x:c r="D188" s="23" t="str">
        <x:v>StockSavvyShay</x:v>
      </x:c>
      <x:c r="E188" s="23" t="str">
        <x:v>bearish</x:v>
      </x:c>
      <x:c r="F188" s="34" t="n">
        <x:v>0.9</x:v>
      </x:c>
      <x:c r="G188" s="23" t="str">
        <x:v>auto</x:v>
      </x:c>
      <x:c r="H188" s="23"/>
      <x:c r="I188" s="23"/>
      <x:c r="J188" s="23" t="str">
        <x:v>valuation</x:v>
      </x:c>
      <x:c r="K188" s="50" t="str">
        <x:v>주가가 $40까지 하락할 가능성</x:v>
      </x:c>
      <x:c r="L188" s="50" t="str">
        <x:v>$ASTS jumps more than 10% today after Jim Cramer warns investors to wait for $40 before buying.
He said investors “gotta be worried” because the company is “losing a fortune” and the stock remains out of favor. https://t.co/Tik8PnHDVr</x:v>
      </x:c>
      <x:c r="M188" s="65" t="str">
        <x:v>https://x.com/StockSavvyShay/status/2079578603998835050</x:v>
      </x:c>
      <x:c r="N188" s="23" t="str">
        <x:v>vote 변경</x:v>
      </x:c>
    </x:row>
    <x:row r="189" ht="60" customHeight="1">
      <x:c r="A189" s="23" t="n">
        <x:v>1482</x:v>
      </x:c>
      <x:c r="B189" s="23" t="str">
        <x:v>NVDA</x:v>
      </x:c>
      <x:c r="C189" s="53" t="n">
        <x:v>46224.626493055555</x:v>
      </x:c>
      <x:c r="D189" s="23" t="str">
        <x:v>StockMKTNewz</x:v>
      </x:c>
      <x:c r="E189" s="23" t="str">
        <x:v>bullish</x:v>
      </x:c>
      <x:c r="F189" s="34" t="n">
        <x:v>0.8</x:v>
      </x:c>
      <x:c r="G189" s="23" t="str">
        <x:v>auto</x:v>
      </x:c>
      <x:c r="H189" s="23"/>
      <x:c r="I189" s="23" t="str">
        <x:v>first_mention</x:v>
      </x:c>
      <x:c r="J189" s="23" t="str">
        <x:v>catalyst</x:v>
      </x:c>
      <x:c r="K189" s="50" t="str">
        <x:v>차세대 칩 일정이 계획대로 진행 중이며 AMD보다 우수한 성능을 보여줌</x:v>
      </x:c>
      <x:c r="L189" s="50" t="str">
        <x:v>NVIDIA JUST CONFIRMED ITS NEXT-GEN CHIPS ARE ON SCHEDULE, AND MADE A DIRECT COMPARISON TO AMD IN THE SAME BREATH
Nvidia $NVDA says its chips remain on track for use in AI data centers.
The company also says its new Vera processor is faster than AMD's Turin.
Nvidia said a major customers are already testing Vera Rubin hardware.</x:v>
      </x:c>
      <x:c r="M189" s="65" t="str">
        <x:v>https://x.com/StockMKTNewz/status/2079582708938711287</x:v>
      </x:c>
      <x:c r="N189" s="23" t="str">
        <x:v>vote 변경</x:v>
      </x:c>
    </x:row>
    <x:row r="190" ht="60" customHeight="1">
      <x:c r="A190" s="23" t="n">
        <x:v>1483</x:v>
      </x:c>
      <x:c r="B190" s="23" t="str">
        <x:v>NVDA</x:v>
      </x:c>
      <x:c r="C190" s="53" t="n">
        <x:v>46224.62978009259</x:v>
      </x:c>
      <x:c r="D190" s="23" t="str">
        <x:v>StockSavvyShay</x:v>
      </x:c>
      <x:c r="E190" s="23" t="str">
        <x:v>bullish</x:v>
      </x:c>
      <x:c r="F190" s="34" t="n">
        <x:v>0.8</x:v>
      </x:c>
      <x:c r="G190" s="23" t="str">
        <x:v>auto</x:v>
      </x:c>
      <x:c r="H190" s="23"/>
      <x:c r="I190" s="23" t="str">
        <x:v>first_mention</x:v>
      </x:c>
      <x:c r="J190" s="23" t="str">
        <x:v>catalyst</x:v>
      </x:c>
      <x:c r="K190" s="50" t="str">
        <x:v>차세대 Vera Rubin 플랫폼이 일정대로 진행 중이며 주요 고객이 테스트 중</x:v>
      </x:c>
      <x:c r="L190" s="50" t="str">
        <x:v>$NVDA says its next-generation Vera Rubin platform remains on schedule with major customers already testing the hardware.
The company also claims its new Vera CPU is faster than $AMD Turin processor https://t.co/oCX4yci1r7</x:v>
      </x:c>
      <x:c r="M190" s="65" t="str">
        <x:v>https://x.com/StockSavvyShay/status/2079583899475403015</x:v>
      </x:c>
      <x:c r="N190" s="23" t="str">
        <x:v>vote 변경</x:v>
      </x:c>
    </x:row>
    <x:row r="191" ht="60" customHeight="1">
      <x:c r="A191" s="23" t="n">
        <x:v>1485</x:v>
      </x:c>
      <x:c r="B191" s="23" t="str">
        <x:v>NVDA</x:v>
      </x:c>
      <x:c r="C191" s="53" t="n">
        <x:v>46224.635</x:v>
      </x:c>
      <x:c r="D191" s="23" t="str">
        <x:v>StockSavvyShay</x:v>
      </x:c>
      <x:c r="E191" s="23" t="str">
        <x:v>bullish</x:v>
      </x:c>
      <x:c r="F191" s="34" t="n">
        <x:v>0.8</x:v>
      </x:c>
      <x:c r="G191" s="23" t="str">
        <x:v>auto</x:v>
      </x:c>
      <x:c r="H191" s="23"/>
      <x:c r="I191" s="23" t="str">
        <x:v>first_mention</x:v>
      </x:c>
      <x:c r="J191" s="23" t="str">
        <x:v>positioning</x:v>
      </x:c>
      <x:c r="K191" s="50" t="str">
        <x:v>NVDA가 현재 매우 좋은 위치에 있음</x:v>
      </x:c>
      <x:c r="L191" s="50" t="str">
        <x:v>@VanquishTrader $NVDA so well positioned right now</x:v>
      </x:c>
      <x:c r="M191" s="65" t="str">
        <x:v>https://x.com/StockSavvyShay/status/2079585793623118177</x:v>
      </x:c>
      <x:c r="N191" s="23" t="str">
        <x:v>vote 변경</x:v>
      </x:c>
    </x:row>
    <x:row r="192" ht="60" customHeight="1">
      <x:c r="A192" s="23" t="n">
        <x:v>1489</x:v>
      </x:c>
      <x:c r="B192" s="23" t="str">
        <x:v>NVDA</x:v>
      </x:c>
      <x:c r="C192" s="53" t="n">
        <x:v>46224.638703703706</x:v>
      </x:c>
      <x:c r="D192" s="23" t="str">
        <x:v>StockMKTNewz</x:v>
      </x:c>
      <x:c r="E192" s="23" t="str">
        <x:v>neutral</x:v>
      </x:c>
      <x:c r="F192" s="34" t="n">
        <x:v>0.9</x:v>
      </x:c>
      <x:c r="G192" s="23" t="str">
        <x:v>auto</x:v>
      </x:c>
      <x:c r="H192" s="23"/>
      <x:c r="I192" s="23" t="str">
        <x:v>first_mention</x:v>
      </x:c>
      <x:c r="J192" s="23" t="str">
        <x:v>other</x:v>
      </x:c>
      <x:c r="K192" s="50" t="str">
        <x:v>엔비디아가 새로운 고성능 이더넷 스위치를 발표했으며, 주요 기업들이 이를 채택하고 있습니다.</x:v>
      </x:c>
      <x:c r="L192" s="50" t="str">
        <x:v>Nvidia $NVDA just posted this
"NVIDIA Spectrum-6, a 102.4-terabit-per-second Ethernet switch built for the Vera Rubin platform, is now arriving across the world's gigascale AI factories."
Here are the companies Nvidia listed as being some of the first to use this
CoreWeave $CRWV
Microsoft $MSFT 
Nebius $NBIS
SpaceX $SPCX
Tesla $TSLA</x:v>
      </x:c>
      <x:c r="M192" s="65" t="str">
        <x:v>https://x.com/StockMKTNewz/status/2079587136899039337</x:v>
      </x:c>
      <x:c r="N192" s="23" t="str">
        <x:v>근거만</x:v>
      </x:c>
    </x:row>
    <x:row r="193" ht="60" customHeight="1">
      <x:c r="A193" s="23" t="n">
        <x:v>1500</x:v>
      </x:c>
      <x:c r="B193" s="23" t="str">
        <x:v>NVDA</x:v>
      </x:c>
      <x:c r="C193" s="53" t="n">
        <x:v>46224.6616087963</x:v>
      </x:c>
      <x:c r="D193" s="23" t="str">
        <x:v>StockSavvyShay</x:v>
      </x:c>
      <x:c r="E193" s="23" t="str">
        <x:v>bullish</x:v>
      </x:c>
      <x:c r="F193" s="34" t="n">
        <x:v>0.6</x:v>
      </x:c>
      <x:c r="G193" s="23" t="str">
        <x:v>needs_review</x:v>
      </x:c>
      <x:c r="H193" s="23" t="str">
        <x:v>stance</x:v>
      </x:c>
      <x:c r="I193" s="23" t="str">
        <x:v>new_claim</x:v>
      </x:c>
      <x:c r="J193" s="23" t="str">
        <x:v>catalyst</x:v>
      </x:c>
      <x:c r="K193" s="50" t="str">
        <x:v>NVDA GPU에 대한 수요 강세 확인</x:v>
      </x:c>
      <x:c r="L193" s="50" t="str">
        <x:v>$DOCN is raising on demand prices for select $NVDA and $AMD GPUs by ~30% starting August 1 citing strong AI compute demand.
H100, H200 and MI300X rates are all moving higher while existing reserved contracts keep current pricing until renewal. https://t.co/e4g40funlH</x:v>
      </x:c>
      <x:c r="M193" s="65" t="str">
        <x:v>https://x.com/StockSavvyShay/status/2079595434474168617</x:v>
      </x:c>
      <x:c r="N193" s="23" t="str">
        <x:v>제외</x:v>
      </x:c>
    </x:row>
    <x:row r="194" ht="60" customHeight="1">
      <x:c r="A194" s="23" t="n">
        <x:v>1503</x:v>
      </x:c>
      <x:c r="B194" s="23" t="str">
        <x:v>NVDA</x:v>
      </x:c>
      <x:c r="C194" s="53" t="n">
        <x:v>46224.67145833333</x:v>
      </x:c>
      <x:c r="D194" s="23" t="str">
        <x:v>StockSavvyShay</x:v>
      </x:c>
      <x:c r="E194" s="23" t="str">
        <x:v>bullish</x:v>
      </x:c>
      <x:c r="F194" s="34" t="n">
        <x:v>0.8</x:v>
      </x:c>
      <x:c r="G194" s="23" t="str">
        <x:v>auto</x:v>
      </x:c>
      <x:c r="H194" s="23"/>
      <x:c r="I194" s="23" t="str">
        <x:v>first_mention</x:v>
      </x:c>
      <x:c r="J194" s="23" t="str">
        <x:v>catalyst</x:v>
      </x:c>
      <x:c r="K194" s="50" t="str">
        <x:v>NVDA의 새로운 Spectrum-6 스위치 출시는 기존 트랜시버 업체에 압박을 가하고 NVDA의 네트워킹 콘텐츠와 AI 패브릭 통제력을 높이는 긍정적 요인</x:v>
      </x:c>
      <x:c r="L194" s="50" t="str">
        <x:v>$NVDA says its 102.4 Tbps Spectrum-6 switch for Vera Rubin is rolling out across gigascale AI factories with $CRWV, $MSFT, $NBIS, $SPCX and $TSLA among the first adopters.
Its co-packaged optics architecture pressures traditional pluggable transceivers while increasing Nvidia’s networking content per rack and control of the AI fabric.</x:v>
      </x:c>
      <x:c r="M194" s="65" t="str">
        <x:v>https://x.com/StockSavvyShay/status/2079599005185782158</x:v>
      </x:c>
      <x:c r="N194" s="23" t="str">
        <x:v>vote 변경</x:v>
      </x:c>
    </x:row>
    <x:row r="195" ht="60" customHeight="1">
      <x:c r="A195" s="23" t="n">
        <x:v>1521</x:v>
      </x:c>
      <x:c r="B195" s="23" t="str">
        <x:v>NVDA</x:v>
      </x:c>
      <x:c r="C195" s="53" t="n">
        <x:v>46224.772731481484</x:v>
      </x:c>
      <x:c r="D195" s="23" t="str">
        <x:v>StockSavvyShay</x:v>
      </x:c>
      <x:c r="E195" s="23" t="str">
        <x:v>bullish</x:v>
      </x:c>
      <x:c r="F195" s="34" t="n">
        <x:v>0.8</x:v>
      </x:c>
      <x:c r="G195" s="23" t="str">
        <x:v>auto</x:v>
      </x:c>
      <x:c r="H195" s="23"/>
      <x:c r="I195" s="23" t="str">
        <x:v>first_mention</x:v>
      </x:c>
      <x:c r="J195" s="23" t="str">
        <x:v>growth</x:v>
      </x:c>
      <x:c r="K195" s="50" t="str">
        <x:v>NVDA의 Vera Rubin NVL72가 Blackwell 대비 10배 효율성 향상</x:v>
      </x:c>
      <x:c r="L195" s="50" t="str">
        <x:v>$CRWV reports the first measured $NVDA Vera Rubin NVL72 results with 10x more tokens per second per megawatt than Blackwell on DeepSeek-R1.
The results show Rubin’s efficiency improvements are already holding up in a real-world environment.
 https://t.co/z575csfdSn</x:v>
      </x:c>
      <x:c r="M195" s="65" t="str">
        <x:v>https://x.com/StockSavvyShay/status/2079635706671243632</x:v>
      </x:c>
      <x:c r="N195" s="23" t="str">
        <x:v>vote 변경</x:v>
      </x:c>
    </x:row>
    <x:row r="196" ht="60" customHeight="1">
      <x:c r="A196" s="23" t="n">
        <x:v>1569</x:v>
      </x:c>
      <x:c r="B196" s="23" t="str">
        <x:v>ASTS</x:v>
      </x:c>
      <x:c r="C196" s="53" t="n">
        <x:v>46225.04377314815</x:v>
      </x:c>
      <x:c r="D196" s="23" t="str">
        <x:v>StockSavvyShay</x:v>
      </x:c>
      <x:c r="E196" s="23" t="str">
        <x:v>neutral</x:v>
      </x:c>
      <x:c r="F196" s="34" t="n">
        <x:v>0</x:v>
      </x:c>
      <x:c r="G196" s="23" t="str">
        <x:v>needs_review</x:v>
      </x:c>
      <x:c r="H196" s="23" t="str">
        <x:v>stance</x:v>
      </x:c>
      <x:c r="I196" s="23"/>
      <x:c r="J196" s="23" t="str">
        <x:v>other</x:v>
      </x:c>
      <x:c r="K196" s="50" t="str">
        <x:v>BlueBird 위성 8-10호가 완전 전개되었으며, 11-13호는 발사 준비 중, 14-16호는 후속 생산 중</x:v>
      </x:c>
      <x:c r="L196" s="50" t="str">
        <x:v>$ASTS says BlueBirds 8, 9 and 10 are now fully deployed as the largest communications arrays in low Earth orbit. 
BlueBirds 11 through 13 are already at Cape Canaveral for launch with 14 through 16 immediately behind them as production cadence ramps through satellite 42. https://t.co/7ugzFgby1q</x:v>
      </x:c>
      <x:c r="M196" s="65" t="str">
        <x:v>https://x.com/StockSavvyShay/status/2079733929033273579</x:v>
      </x:c>
      <x:c r="N196" s="23" t="str">
        <x:v>제외</x:v>
      </x:c>
    </x:row>
    <x:row r="197" ht="60" customHeight="1">
      <x:c r="A197" s="23" t="n">
        <x:v>1572</x:v>
      </x:c>
      <x:c r="B197" s="23" t="str">
        <x:v>NVDA</x:v>
      </x:c>
      <x:c r="C197" s="53" t="n">
        <x:v>46225.418020833335</x:v>
      </x:c>
      <x:c r="D197" s="23" t="str">
        <x:v>StockSavvyShay</x:v>
      </x:c>
      <x:c r="E197" s="23" t="str">
        <x:v>neutral</x:v>
      </x:c>
      <x:c r="F197" s="34" t="n">
        <x:v>0</x:v>
      </x:c>
      <x:c r="G197" s="23" t="str">
        <x:v>needs_review</x:v>
      </x:c>
      <x:c r="H197" s="23" t="str">
        <x:v>stance</x:v>
      </x:c>
      <x:c r="I197" s="23" t="str">
        <x:v>first_mention</x:v>
      </x:c>
      <x:c r="J197" s="23" t="str">
        <x:v>other</x:v>
      </x:c>
      <x:c r="K197" s="50" t="str">
        <x:v>엔비디아의 GB300 시스템이 위스트론의 텍사스 공장에서 양산에 들어갔으며, 연내 베라 루빈 시스템으로 확장할 계획입니다.</x:v>
      </x:c>
      <x:c r="L197" s="50" t="str">
        <x:v>$NVDA GB300 systems are now in mass production at Wistron’s new $700M factory in Texas.
The company plans to scale output to tens of thousands of computing boards per month this year with Vera Rubin systems next. https://t.co/DjBlWH1UBC</x:v>
      </x:c>
      <x:c r="M197" s="65" t="str">
        <x:v>https://x.com/StockSavvyShay/status/2079869551244955704</x:v>
      </x:c>
      <x:c r="N197" s="23" t="str">
        <x:v>제외</x:v>
      </x:c>
    </x:row>
    <x:row r="198" ht="60" customHeight="1">
      <x:c r="A198" s="23" t="n">
        <x:v>1577</x:v>
      </x:c>
      <x:c r="B198" s="23" t="str">
        <x:v>NVDA</x:v>
      </x:c>
      <x:c r="C198" s="53" t="n">
        <x:v>46225.449641203704</x:v>
      </x:c>
      <x:c r="D198" s="23" t="str">
        <x:v>StockMKTNewz</x:v>
      </x:c>
      <x:c r="E198" s="23" t="str">
        <x:v>neutral</x:v>
      </x:c>
      <x:c r="F198" s="34" t="n">
        <x:v>0</x:v>
      </x:c>
      <x:c r="G198" s="23" t="str">
        <x:v>needs_review</x:v>
      </x:c>
      <x:c r="H198" s="23" t="str">
        <x:v>stance</x:v>
      </x:c>
      <x:c r="I198" s="23" t="str">
        <x:v>first_mention</x:v>
      </x:c>
      <x:c r="J198" s="23" t="str">
        <x:v>other</x:v>
      </x:c>
      <x:c r="K198" s="50" t="str">
        <x:v>CEO가 중국 AI 모델 규제 반대 발언을 했으나, 이는 투자 의견이 아닌 경영진 발언 인용</x:v>
      </x:c>
      <x:c r="L198" s="50" t="str">
        <x:v>Nvidia $NVDA CEO Jensen Huang said the 🇺🇸 Government should NOT ban or restrict China 🇨🇳 AI models like Kimi K3 in an interview he did with Axios … here’s more quotes 
"These Chinese models are excellent" … "Open-source models that are excellent should be used."
"The market misunderstood the impact of DeepSeek the first time," and its misunderstanding “the impact of Kimi again this time."
"There's no scenario where China runs U.S. companies off the road" … "Zero possibility."
 https://t.co/R928XN3McN</x:v>
      </x:c>
      <x:c r="M198" s="65" t="str">
        <x:v>https://x.com/StockMKTNewz/status/2079881008254484952</x:v>
      </x:c>
      <x:c r="N198" s="23" t="str">
        <x:v>제외</x:v>
      </x:c>
    </x:row>
    <x:row r="199" ht="60" customHeight="1">
      <x:c r="A199" s="23" t="n">
        <x:v>1581</x:v>
      </x:c>
      <x:c r="B199" s="23" t="str">
        <x:v>NVDA</x:v>
      </x:c>
      <x:c r="C199" s="53" t="n">
        <x:v>46225.48417824074</x:v>
      </x:c>
      <x:c r="D199" s="23" t="str">
        <x:v>StockSavvyShay</x:v>
      </x:c>
      <x:c r="E199" s="23" t="str">
        <x:v>bullish</x:v>
      </x:c>
      <x:c r="F199" s="34" t="n">
        <x:v>0.9</x:v>
      </x:c>
      <x:c r="G199" s="23" t="str">
        <x:v>needs_review</x:v>
      </x:c>
      <x:c r="H199" s="23" t="str">
        <x:v>claim</x:v>
      </x:c>
      <x:c r="I199" s="23" t="str">
        <x:v>first_mention</x:v>
      </x:c>
      <x:c r="J199" s="23" t="str">
        <x:v>thesis</x:v>
      </x:c>
      <x:c r="K199" s="50" t="str">
        <x:v>중국 오픈 AI 모델 금지 반대 및 AI 채택 가속화가 엔비디아 칩 수요에 긍정적</x:v>
      </x:c>
      <x:c r="L199" s="50" t="str">
        <x:v>$NVDA CEO Jensen Huang says Wall Street misunderstood DeepSeek and is “misunderstanding Kimi again.”
He argues open Chinese models shouldn't be banned because cheaper open models accelerate AI adoption making “free AI” bullish for chips, data centers &amp;amp; Nvidia’s compute demand. https://t.co/NXN7ImFXlH</x:v>
      </x:c>
      <x:c r="M199" s="65" t="str">
        <x:v>https://x.com/StockSavvyShay/status/2079893525366538395</x:v>
      </x:c>
      <x:c r="N199" s="23" t="str">
        <x:v>제외</x:v>
      </x:c>
    </x:row>
    <x:row r="200" ht="60" customHeight="1">
      <x:c r="A200" s="23" t="n">
        <x:v>1590</x:v>
      </x:c>
      <x:c r="B200" s="23" t="str">
        <x:v>ASTS</x:v>
      </x:c>
      <x:c r="C200" s="53" t="n">
        <x:v>46225.574467592596</x:v>
      </x:c>
      <x:c r="D200" s="23" t="str">
        <x:v>StockSavvyShay</x:v>
      </x:c>
      <x:c r="E200" s="23" t="str">
        <x:v>neutral</x:v>
      </x:c>
      <x:c r="F200" s="34" t="n">
        <x:v>0.8</x:v>
      </x:c>
      <x:c r="G200" s="23" t="str">
        <x:v>needs_review</x:v>
      </x:c>
      <x:c r="H200" s="23" t="str">
        <x:v>claim</x:v>
      </x:c>
      <x:c r="I200" s="23" t="str">
        <x:v>first_mention</x:v>
      </x:c>
      <x:c r="J200" s="23" t="str">
        <x:v>catalyst</x:v>
      </x:c>
      <x:c r="K200" s="50" t="str">
        <x:v>AT&amp;T CEO가 ASTS와의 파트너십이 내년에 결실을 맺을 것이라고 언급</x:v>
      </x:c>
      <x:c r="L200" s="50" t="str">
        <x:v>AT&amp;amp;T CEO John Stankey says its $ASTS partnership should begin coming to fruition next year with service working seamlessly on customers’ existing devices.
“If they walk off the network, they’re not going to walk off the network.” https://t.co/t8lHuR8uxJ</x:v>
      </x:c>
      <x:c r="M200" s="65" t="str">
        <x:v>https://x.com/StockSavvyShay/status/2079926245824098505</x:v>
      </x:c>
      <x:c r="N200" s="23" t="str">
        <x:v>제외</x:v>
      </x:c>
    </x:row>
    <x:row r="201" ht="60" customHeight="1">
      <x:c r="A201" s="23" t="n">
        <x:v>1620</x:v>
      </x:c>
      <x:c r="B201" s="23" t="str">
        <x:v>NVDA</x:v>
      </x:c>
      <x:c r="C201" s="53" t="n">
        <x:v>46225.771527777775</x:v>
      </x:c>
      <x:c r="D201" s="23" t="str">
        <x:v>Beth_Kindig</x:v>
      </x:c>
      <x:c r="E201" s="23" t="str">
        <x:v>neutral</x:v>
      </x:c>
      <x:c r="F201" s="34" t="n">
        <x:v>0</x:v>
      </x:c>
      <x:c r="G201" s="23" t="str">
        <x:v>needs_review</x:v>
      </x:c>
      <x:c r="H201" s="23" t="str">
        <x:v>stance</x:v>
      </x:c>
      <x:c r="I201" s="23"/>
      <x:c r="J201" s="23" t="str">
        <x:v>other</x:v>
      </x:c>
      <x:c r="K201" s="50" t="str">
        <x:v>소프트웨어 최적화만으로 동일 전력 소비 대비 토큰 생성량 5배 증가</x:v>
      </x:c>
      <x:c r="L201" s="50" t="str">
        <x:v>Nvidia $NVDA said that with software optimizations alone, it was able to deliver a 5X increase in tokens generated in the same power envelope in just one month.</x:v>
      </x:c>
      <x:c r="M201" s="65" t="str">
        <x:v>https://x.com/Beth_Kindig/status/2079997655480987667</x:v>
      </x:c>
      <x:c r="N201" s="23" t="str">
        <x:v>제외</x:v>
      </x:c>
    </x:row>
    <x:row r="202" ht="60" customHeight="1">
      <x:c r="A202" s="23" t="n">
        <x:v>1623</x:v>
      </x:c>
      <x:c r="B202" s="23" t="str">
        <x:v>NVDA</x:v>
      </x:c>
      <x:c r="C202" s="53" t="n">
        <x:v>46225.79513888889</x:v>
      </x:c>
      <x:c r="D202" s="23" t="str">
        <x:v>Beth_Kindig</x:v>
      </x:c>
      <x:c r="E202" s="23" t="str">
        <x:v>bullish</x:v>
      </x:c>
      <x:c r="F202" s="34" t="n">
        <x:v>0.7</x:v>
      </x:c>
      <x:c r="G202" s="23" t="str">
        <x:v>needs_review</x:v>
      </x:c>
      <x:c r="H202" s="23" t="str">
        <x:v>stance</x:v>
      </x:c>
      <x:c r="I202" s="23" t="str">
        <x:v>first_mention</x:v>
      </x:c>
      <x:c r="J202" s="23" t="str">
        <x:v>growth</x:v>
      </x:c>
      <x:c r="K202" s="50" t="str">
        <x:v>Nvidia가 투자한 AI 스타트업의 성장은 Nvidia의 AI 생태계 확장을 보여준다.</x:v>
      </x:c>
      <x:c r="L202" s="50" t="str">
        <x:v>Nvidia-backed AI infrastructure startup Fireworks AI raised $1.5 billion at a $17.5 billion valuation, noting that its ARR has risen fivefold YoY to surpass $1 billion while daily tokens processed on its platform reached 40 trillion, up 1.67X YoY. 
$NVDA $AMZN $GOOG $MSFT</x:v>
      </x:c>
      <x:c r="M202" s="65" t="str">
        <x:v>https://x.com/Beth_Kindig/status/2080006212004044815</x:v>
      </x:c>
      <x:c r="N202" s="23" t="str">
        <x:v>제외</x:v>
      </x:c>
    </x:row>
    <x:row r="203" ht="60" customHeight="1">
      <x:c r="A203" s="23" t="n">
        <x:v>1647</x:v>
      </x:c>
      <x:c r="B203" s="23" t="str">
        <x:v>LITE</x:v>
      </x:c>
      <x:c r="C203" s="53" t="n">
        <x:v>46225.85266203704</x:v>
      </x:c>
      <x:c r="D203" s="23" t="str">
        <x:v>aleabitoreddit</x:v>
      </x:c>
      <x:c r="E203" s="23" t="str">
        <x:v>bullish</x:v>
      </x:c>
      <x:c r="F203" s="34" t="n">
        <x:v>0.8</x:v>
      </x:c>
      <x:c r="G203" s="23" t="str">
        <x:v>auto</x:v>
      </x:c>
      <x:c r="H203" s="23"/>
      <x:c r="I203" s="23" t="str">
        <x:v>first_mention</x:v>
      </x:c>
      <x:c r="J203" s="23" t="str">
        <x:v>catalyst</x:v>
      </x:c>
      <x:c r="K203" s="50" t="str">
        <x:v>구글의 클라우드 실적 호조와 대규모 자본 지출 전망이 광통신/네트워킹 관련주인 LITE에 긍정적</x:v>
      </x:c>
      <x:c r="L203" s="50" t="str">
        <x:v>$GOOGL reported earnings today:
EPS: $9.11 actual vs $2.91 expected - retail reactions to EPS blowout is kinda just accounting noise, since $SPCX, Anthropic, and others were likely large contributors. 
Revenue: $119.7B actual vs. $116.98B expected
Google Cloud Revenue: $24.77B +82% Y/Y, vs. 63-65% expected ($22.2-$22.6B) - this is a very large beat and most material part so far. 
Cloud Operating Income: ~$8.81B, implying 35.6% margin vs. 32.9% Q1. 
Capex: $44.92B vs ~$44.15B (basically in line).
So initial read through is Google Cloud accelerating growth with expanding margins is genuinely bullish for AI demand.
Their former $180-$190B capex guidance is already extremely large, and as long as we get around these numbers in the earnings call + forward projections... 
Should be good to go for $LITE and the other optics/networking trade. (eg. last earnings, they said DC and networking would be ~40% of capex spend). 
Hyperscaler earnings transcripts are probably the most important thing to pay attention to with the AI capex trade. 
And that should be in 3 minutes.</x:v>
      </x:c>
      <x:c r="M203" s="65" t="str">
        <x:v>https://x.com/aleabitoreddit/status/2080027058063958323</x:v>
      </x:c>
      <x:c r="N203" s="23" t="str">
        <x:v>vote 변경</x:v>
      </x:c>
    </x:row>
    <x:row r="204" ht="60" customHeight="1">
      <x:c r="A204" s="23" t="n">
        <x:v>1682</x:v>
      </x:c>
      <x:c r="B204" s="23" t="str">
        <x:v>ASTS</x:v>
      </x:c>
      <x:c r="C204" s="53" t="n">
        <x:v>46225.90085648148</x:v>
      </x:c>
      <x:c r="D204" s="23" t="str">
        <x:v>StockSavvyShay</x:v>
      </x:c>
      <x:c r="E204" s="23" t="str">
        <x:v>bullish</x:v>
      </x:c>
      <x:c r="F204" s="34" t="n">
        <x:v>0.7</x:v>
      </x:c>
      <x:c r="G204" s="23" t="str">
        <x:v>needs_review</x:v>
      </x:c>
      <x:c r="H204" s="23" t="str">
        <x:v>stance</x:v>
      </x:c>
      <x:c r="I204" s="23" t="str">
        <x:v>first_mention</x:v>
      </x:c>
      <x:c r="J204" s="23" t="str">
        <x:v>catalyst</x:v>
      </x:c>
      <x:c r="K204" s="50" t="str">
        <x:v>국방비 증액으로 수혜 예상</x:v>
      </x:c>
      <x:c r="L204" s="50" t="str">
        <x:v>The U.S. House passes the roughly $1.2T National Defense Authorization Act authorizing nearly 30% more defense spending.
$PLTR, $RKLB, $SPCX, $AVAV, $KTOS, $ONDS, $ASTS, $PL https://t.co/2W8a1PlqJY</x:v>
      </x:c>
      <x:c r="M204" s="65" t="str">
        <x:v>https://x.com/StockSavvyShay/status/2080044525276508526</x:v>
      </x:c>
      <x:c r="N204" s="23" t="str">
        <x:v>제외</x:v>
      </x:c>
    </x:row>
    <x:row r="205" ht="60" customHeight="1">
      <x:c r="A205" s="23" t="n">
        <x:v>1709</x:v>
      </x:c>
      <x:c r="B205" s="23" t="str">
        <x:v>LITE</x:v>
      </x:c>
      <x:c r="C205" s="53" t="n">
        <x:v>46226.20112268518</x:v>
      </x:c>
      <x:c r="D205" s="23" t="str">
        <x:v>aleabitoreddit</x:v>
      </x:c>
      <x:c r="E205" s="23" t="str">
        <x:v>bullish</x:v>
      </x:c>
      <x:c r="F205" s="34" t="n">
        <x:v>0.6</x:v>
      </x:c>
      <x:c r="G205" s="23" t="str">
        <x:v>needs_review</x:v>
      </x:c>
      <x:c r="H205" s="23" t="str">
        <x:v>stance</x:v>
      </x:c>
      <x:c r="I205" s="23" t="str">
        <x:v>repeat</x:v>
      </x:c>
      <x:c r="J205" s="23" t="str">
        <x:v>growth</x:v>
      </x:c>
      <x:c r="K205" s="50" t="str">
        <x:v>포토닉스 EML LTA 체결로 수혜</x:v>
      </x:c>
      <x:c r="L205" s="50" t="str">
        <x:v>$INTC and $AMD to sign CPU LTAs with Chinese customers for AI DCs (Reuters). 
- Prices of some CPU products have risen more than 40% in China since the start of the year from sources. 
- Month-on-month increases topping 10% for some products
CPUs were already a bottleneck, following CPU ratios due to AI inference... 
But the broader trend of LTAs seems to be appearing from: 
- Memory, with $MU, Samsung, $SNDK, and SK Hynix signing DRAM/NAND LTAs.
- Photonics, with $LITE, $COHR signing EML LTAs. And recent Trendforce reports that $AMD and hyperscalers are now pursuing CW LTAs. 
And I'm sure there's many more from MLCCs to all the way to substrates. 
+1 for the bottleneck investors... hard to be a "bubble that pops" if you have take or pay demand spanning multiple years.</x:v>
      </x:c>
      <x:c r="M205" s="65" t="str">
        <x:v>https://x.com/aleabitoreddit/status/2080153334888182065</x:v>
      </x:c>
      <x:c r="N205" s="23" t="str">
        <x:v>제외</x:v>
      </x:c>
    </x:row>
    <x:row r="206" ht="60" customHeight="1">
      <x:c r="A206" s="23" t="n">
        <x:v>1710</x:v>
      </x:c>
      <x:c r="B206" s="23" t="str">
        <x:v>COHR</x:v>
      </x:c>
      <x:c r="C206" s="53" t="n">
        <x:v>46226.20112268518</x:v>
      </x:c>
      <x:c r="D206" s="23" t="str">
        <x:v>aleabitoreddit</x:v>
      </x:c>
      <x:c r="E206" s="23" t="str">
        <x:v>bullish</x:v>
      </x:c>
      <x:c r="F206" s="34" t="n">
        <x:v>0.6</x:v>
      </x:c>
      <x:c r="G206" s="23" t="str">
        <x:v>needs_review</x:v>
      </x:c>
      <x:c r="H206" s="23" t="str">
        <x:v>stance</x:v>
      </x:c>
      <x:c r="I206" s="23" t="str">
        <x:v>repeat</x:v>
      </x:c>
      <x:c r="J206" s="23" t="str">
        <x:v>growth</x:v>
      </x:c>
      <x:c r="K206" s="50" t="str">
        <x:v>포토닉스 EML LTA 체결로 수혜</x:v>
      </x:c>
      <x:c r="L206" s="50" t="str">
        <x:v>$INTC and $AMD to sign CPU LTAs with Chinese customers for AI DCs (Reuters). 
- Prices of some CPU products have risen more than 40% in China since the start of the year from sources. 
- Month-on-month increases topping 10% for some products
CPUs were already a bottleneck, following CPU ratios due to AI inference... 
But the broader trend of LTAs seems to be appearing from: 
- Memory, with $MU, Samsung, $SNDK, and SK Hynix signing DRAM/NAND LTAs.
- Photonics, with $LITE, $COHR signing EML LTAs. And recent Trendforce reports that $AMD and hyperscalers are now pursuing CW LTAs. 
And I'm sure there's many more from MLCCs to all the way to substrates. 
+1 for the bottleneck investors... hard to be a "bubble that pops" if you have take or pay demand spanning multiple years.</x:v>
      </x:c>
      <x:c r="M206" s="65" t="str">
        <x:v>https://x.com/aleabitoreddit/status/2080153334888182065</x:v>
      </x:c>
      <x:c r="N206" s="23" t="str">
        <x:v>제외</x:v>
      </x:c>
    </x:row>
    <x:row r="207" ht="60" customHeight="1">
      <x:c r="A207" s="23" t="n">
        <x:v>1714</x:v>
      </x:c>
      <x:c r="B207" s="23" t="str">
        <x:v>NVDA</x:v>
      </x:c>
      <x:c r="C207" s="53" t="n">
        <x:v>46226.37278935185</x:v>
      </x:c>
      <x:c r="D207" s="23" t="str">
        <x:v>StockSavvyShay</x:v>
      </x:c>
      <x:c r="E207" s="23" t="str">
        <x:v>neutral</x:v>
      </x:c>
      <x:c r="F207" s="34" t="n">
        <x:v>0.5</x:v>
      </x:c>
      <x:c r="G207" s="23" t="str">
        <x:v>needs_review</x:v>
      </x:c>
      <x:c r="H207" s="23" t="str">
        <x:v>stance</x:v>
      </x:c>
      <x:c r="I207" s="23" t="str">
        <x:v>unclear</x:v>
      </x:c>
      <x:c r="J207" s="23" t="str">
        <x:v>other</x:v>
      </x:c>
      <x:c r="K207" s="50"/>
      <x:c r="L207" s="50" t="str">
        <x:v>$NBIS has installed its first full $NVDA Vera Rubin NVL72 rack at its Finland data center alongside Nvidia Spectrum-6 networking.
Nebius is now bringing compute and networking up together to accelerate validation and shorten the path to production workloads. https://t.co/ulYYXCFDUX</x:v>
      </x:c>
      <x:c r="M207" s="65" t="str">
        <x:v>https://x.com/StockSavvyShay/status/2080215544624828925</x:v>
      </x:c>
      <x:c r="N207" s="23" t="str">
        <x:v>제외</x:v>
      </x:c>
    </x:row>
    <x:row r="208" ht="60" customHeight="1">
      <x:c r="A208" s="23" t="n">
        <x:v>1764</x:v>
      </x:c>
      <x:c r="B208" s="23" t="str">
        <x:v>NVDA</x:v>
      </x:c>
      <x:c r="C208" s="53" t="n">
        <x:v>46226.71135416667</x:v>
      </x:c>
      <x:c r="D208" s="23" t="str">
        <x:v>Beth_Kindig</x:v>
      </x:c>
      <x:c r="E208" s="23" t="str">
        <x:v>bullish</x:v>
      </x:c>
      <x:c r="F208" s="34" t="n">
        <x:v>0.8</x:v>
      </x:c>
      <x:c r="G208" s="23" t="str">
        <x:v>auto</x:v>
      </x:c>
      <x:c r="H208" s="23"/>
      <x:c r="I208" s="23" t="str">
        <x:v>first_mention</x:v>
      </x:c>
      <x:c r="J208" s="23" t="str">
        <x:v>catalyst</x:v>
      </x:c>
      <x:c r="K208" s="50" t="str">
        <x:v>일본의 Rubin GPU 대규모 구매는 엔비디아의 데이터센터 수요 증가를 시사함</x:v>
      </x:c>
      <x:c r="L208" s="50" t="str">
        <x:v>Japan is planning to purchase 27,500 of Nvidia’s $NVDA Rubin GPUs to build an AI factory to develop a homegrown foundational AI model for robotics.</x:v>
      </x:c>
      <x:c r="M208" s="65" t="str">
        <x:v>https://x.com/Beth_Kindig/status/2080338237009035503</x:v>
      </x:c>
      <x:c r="N208" s="23" t="str">
        <x:v>vote 변경</x:v>
      </x:c>
    </x:row>
    <x:row r="209" ht="60" customHeight="1">
      <x:c r="A209" s="23" t="n">
        <x:v>1797</x:v>
      </x:c>
      <x:c r="B209" s="23" t="str">
        <x:v>NVDA</x:v>
      </x:c>
      <x:c r="C209" s="53" t="n">
        <x:v>46226.87668981482</x:v>
      </x:c>
      <x:c r="D209" s="23" t="str">
        <x:v>StockMKTNewz</x:v>
      </x:c>
      <x:c r="E209" s="23" t="str">
        <x:v>bullish</x:v>
      </x:c>
      <x:c r="F209" s="34" t="n">
        <x:v>0.8</x:v>
      </x:c>
      <x:c r="G209" s="23" t="str">
        <x:v>needs_review</x:v>
      </x:c>
      <x:c r="H209" s="23" t="str">
        <x:v>claim</x:v>
      </x:c>
      <x:c r="I209" s="23" t="str">
        <x:v>new_claim</x:v>
      </x:c>
      <x:c r="J209" s="23" t="str">
        <x:v>catalyst</x:v>
      </x:c>
      <x:c r="K209" s="50" t="str">
        <x:v>NVIDIA의 Amkor에 대한 투자는 AI 및 가속 컴퓨팅을 위한 첨단 패키징 공급망을 확보하는 전략적 움직임이다.</x:v>
      </x:c>
      <x:c r="L209" s="50" t="str">
        <x:v>NVIDIA IS PREPAYING $1.5 BILLION TO A CHIP PACKAGING COMPANY MOST PEOPLE HAVE NEVER HEARD OF
Amkor Technology $AMKR announced a multi-year strategic partnership with NVIDIA $NVDA to develop advanced semiconductor packaging and test technologies for next-generation AI and accelerated computing platforms.
Under the agreement, NVIDIA will prepay Amkor to help fund the expansion of its US advanced packaging capacity, part of a $1.5 billion multi-year development agreement.
The expansion specifically targets Amkor's Arizona facility, adding to its existing manufacturing footprint across Asia, part of a stated push to build full turnkey advanced packaging and test capability inside the US.</x:v>
      </x:c>
      <x:c r="M209" s="65" t="str">
        <x:v>https://x.com/StockMKTNewz/status/2080398153350598858</x:v>
      </x:c>
      <x:c r="N209" s="23" t="str">
        <x:v>제외</x:v>
      </x:c>
    </x:row>
    <x:row r="210" ht="60" customHeight="1">
      <x:c r="A210" s="23" t="n">
        <x:v>1794</x:v>
      </x:c>
      <x:c r="B210" s="23" t="str">
        <x:v>NVDA</x:v>
      </x:c>
      <x:c r="C210" s="53" t="n">
        <x:v>46226.87805555556</x:v>
      </x:c>
      <x:c r="D210" s="23" t="str">
        <x:v>StockSavvyShay</x:v>
      </x:c>
      <x:c r="E210" s="23" t="str">
        <x:v>bullish</x:v>
      </x:c>
      <x:c r="F210" s="34" t="n">
        <x:v>0.7</x:v>
      </x:c>
      <x:c r="G210" s="23" t="str">
        <x:v>needs_review</x:v>
      </x:c>
      <x:c r="H210" s="23" t="str">
        <x:v>stance</x:v>
      </x:c>
      <x:c r="I210" s="23" t="str">
        <x:v>first_mention</x:v>
      </x:c>
      <x:c r="J210" s="23" t="str">
        <x:v>growth</x:v>
      </x:c>
      <x:c r="K210" s="50" t="str">
        <x:v>엔비디아가 AI 공급망을 미국으로 가져오기 위해 선제적으로 투자하고 있음</x:v>
      </x:c>
      <x:c r="L210" s="50" t="str">
        <x:v>$NVDA is prepaying $AMKR $1.5B to expand advanced chip packaging capacity for next-generation AI systems.
The deal will scale Amkor’s Arizona facility and bring more of Nvidia’s AI supply chain into the U.S. https://t.co/3wXXyzYTNZ</x:v>
      </x:c>
      <x:c r="M210" s="65" t="str">
        <x:v>https://x.com/StockSavvyShay/status/2080398649100828878</x:v>
      </x:c>
      <x:c r="N210" s="23" t="str">
        <x:v>제외</x:v>
      </x:c>
    </x:row>
    <x:row r="211" ht="60" customHeight="1">
      <x:c r="A211" s="23" t="n">
        <x:v>1815</x:v>
      </x:c>
      <x:c r="B211" s="23" t="str">
        <x:v>AAOI</x:v>
      </x:c>
      <x:c r="C211" s="53" t="n">
        <x:v>46227.008101851854</x:v>
      </x:c>
      <x:c r="D211" s="23" t="str">
        <x:v>aleabitoreddit</x:v>
      </x:c>
      <x:c r="E211" s="23" t="str">
        <x:v>neutral</x:v>
      </x:c>
      <x:c r="F211" s="34" t="n">
        <x:v>0.6</x:v>
      </x:c>
      <x:c r="G211" s="23" t="str">
        <x:v>needs_review</x:v>
      </x:c>
      <x:c r="H211" s="23" t="str">
        <x:v>stance</x:v>
      </x:c>
      <x:c r="I211" s="23" t="str">
        <x:v>first_mention</x:v>
      </x:c>
      <x:c r="J211" s="23" t="str">
        <x:v>other</x:v>
      </x:c>
      <x:c r="K211" s="50" t="str">
        <x:v>AAOI도 CPO를 개발 중이나 상용화가 약간 뒤처짐.</x:v>
      </x:c>
      <x:c r="L211" s="50" t="str">
        <x:v>Not exactly for $AAOI (they're working on CPO too, just a little further behind in commercialization).
There's a podcast that featured the $SIVE CEO recently called: "Market Insights: Photonics &amp; AI".
Most interesting take was: 
"Pluggables will be around for the next 10 years".
There's a lot of CPO + RNG/MRC optimization TAM cannablization arguments for pluggables recently, but looks like it's here to stay.
And that there's going to be multiple architecture paths going forward (CEO also NPO alongside CPO as an major opportunity in the next 5 years). 
As for challenges: Vickram stated manufacturing capacity + availability of raw material is the main bottleneck. Likely referencing the existing bottlenecks with upstream CW laser ramp. 
From the podcast, seems like a large focus was on pluggable markets due to larger near-term TAM (which is understandable with $JBL + other players), with CPO being the north star. 
So it might be interesting if $SIVE M&amp;A ambitions were to acquire more pluggable optical transceiver IP, like what $LITE did with Cloud Light.
But TLDR:
Lot of different paths moving forward, pluggable here to stay, CPO seems like North Star for where industry is heading. 
Feels like there's room for every qualified laser supplier given the industry demand is growing faster than what they can all collectively make.</x:v>
      </x:c>
      <x:c r="M211" s="65" t="str">
        <x:v>https://x.com/aleabitoreddit/status/2080445777395298454</x:v>
      </x:c>
      <x:c r="N211" s="23" t="str">
        <x:v>제외</x:v>
      </x:c>
    </x:row>
    <x:row r="212" ht="60" customHeight="1">
      <x:c r="A212" s="23" t="n">
        <x:v>1819</x:v>
      </x:c>
      <x:c r="B212" s="23" t="str">
        <x:v>AAOI</x:v>
      </x:c>
      <x:c r="C212" s="53" t="n">
        <x:v>46227.03760416667</x:v>
      </x:c>
      <x:c r="D212" s="23" t="str">
        <x:v>aleabitoreddit</x:v>
      </x:c>
      <x:c r="E212" s="23" t="str">
        <x:v>neutral</x:v>
      </x:c>
      <x:c r="F212" s="34" t="n">
        <x:v>0.7</x:v>
      </x:c>
      <x:c r="G212" s="23" t="str">
        <x:v>needs_review</x:v>
      </x:c>
      <x:c r="H212" s="23" t="str">
        <x:v>stance</x:v>
      </x:c>
      <x:c r="I212" s="23" t="str">
        <x:v>new_claim</x:v>
      </x:c>
      <x:c r="J212" s="23" t="str">
        <x:v>catalyst</x:v>
      </x:c>
      <x:c r="K212" s="50" t="str">
        <x:v>AMD가 AAOI의 첫 CPO 고객이 될 가능성이 있음</x:v>
      </x:c>
      <x:c r="L212" s="50" t="str">
        <x:v>@Thomus0x eh, Rosenblatt June 30 note identified AMD as the likely first $AAOI CPO customer. I wouldn't quite say they aren't remotely close. 
$LITE / $COHR / $SIVE just look like your top 3 right now in terms of CPO laser visibility per the recent Morgan Stanley note.</x:v>
      </x:c>
      <x:c r="M212" s="65" t="str">
        <x:v>https://x.com/aleabitoreddit/status/2080456465509454053</x:v>
      </x:c>
      <x:c r="N212" s="23" t="str">
        <x:v>제외</x:v>
      </x:c>
    </x:row>
    <x:row r="213" ht="60" customHeight="1">
      <x:c r="A213" s="23" t="n">
        <x:v>1820</x:v>
      </x:c>
      <x:c r="B213" s="23" t="str">
        <x:v>LITE</x:v>
      </x:c>
      <x:c r="C213" s="53" t="n">
        <x:v>46227.03760416667</x:v>
      </x:c>
      <x:c r="D213" s="23" t="str">
        <x:v>aleabitoreddit</x:v>
      </x:c>
      <x:c r="E213" s="23" t="str">
        <x:v>neutral</x:v>
      </x:c>
      <x:c r="F213" s="34" t="n">
        <x:v>0.7</x:v>
      </x:c>
      <x:c r="G213" s="23" t="str">
        <x:v>needs_review</x:v>
      </x:c>
      <x:c r="H213" s="23" t="str">
        <x:v>stance</x:v>
      </x:c>
      <x:c r="I213" s="23" t="str">
        <x:v>new_claim</x:v>
      </x:c>
      <x:c r="J213" s="23" t="str">
        <x:v>positioning</x:v>
      </x:c>
      <x:c r="K213" s="50" t="str">
        <x:v>CPO 레이저 가시성 측면에서 상위 3개 종목 중 하나</x:v>
      </x:c>
      <x:c r="L213" s="50" t="str">
        <x:v>@Thomus0x eh, Rosenblatt June 30 note identified AMD as the likely first $AAOI CPO customer. I wouldn't quite say they aren't remotely close. 
$LITE / $COHR / $SIVE just look like your top 3 right now in terms of CPO laser visibility per the recent Morgan Stanley note.</x:v>
      </x:c>
      <x:c r="M213" s="65" t="str">
        <x:v>https://x.com/aleabitoreddit/status/2080456465509454053</x:v>
      </x:c>
      <x:c r="N213" s="23" t="str">
        <x:v>제외</x:v>
      </x:c>
    </x:row>
    <x:row r="214" ht="60" customHeight="1">
      <x:c r="A214" s="23" t="n">
        <x:v>1821</x:v>
      </x:c>
      <x:c r="B214" s="23" t="str">
        <x:v>COHR</x:v>
      </x:c>
      <x:c r="C214" s="53" t="n">
        <x:v>46227.03760416667</x:v>
      </x:c>
      <x:c r="D214" s="23" t="str">
        <x:v>aleabitoreddit</x:v>
      </x:c>
      <x:c r="E214" s="23" t="str">
        <x:v>neutral</x:v>
      </x:c>
      <x:c r="F214" s="34" t="n">
        <x:v>0.7</x:v>
      </x:c>
      <x:c r="G214" s="23" t="str">
        <x:v>needs_review</x:v>
      </x:c>
      <x:c r="H214" s="23" t="str">
        <x:v>stance</x:v>
      </x:c>
      <x:c r="I214" s="23" t="str">
        <x:v>new_claim</x:v>
      </x:c>
      <x:c r="J214" s="23" t="str">
        <x:v>positioning</x:v>
      </x:c>
      <x:c r="K214" s="50" t="str">
        <x:v>CPO 레이저 가시성 측면에서 상위 3개 종목 중 하나</x:v>
      </x:c>
      <x:c r="L214" s="50" t="str">
        <x:v>@Thomus0x eh, Rosenblatt June 30 note identified AMD as the likely first $AAOI CPO customer. I wouldn't quite say they aren't remotely close. 
$LITE / $COHR / $SIVE just look like your top 3 right now in terms of CPO laser visibility per the recent Morgan Stanley note.</x:v>
      </x:c>
      <x:c r="M214" s="65" t="str">
        <x:v>https://x.com/aleabitoreddit/status/2080456465509454053</x:v>
      </x:c>
      <x:c r="N214" s="23" t="str">
        <x:v>제외</x:v>
      </x:c>
    </x:row>
    <x:row r="215" ht="60" customHeight="1">
      <x:c r="A215" s="23" t="n">
        <x:v>1848</x:v>
      </x:c>
      <x:c r="B215" s="23" t="str">
        <x:v>ASTS</x:v>
      </x:c>
      <x:c r="C215" s="53" t="n">
        <x:v>46227.51945601852</x:v>
      </x:c>
      <x:c r="D215" s="23" t="str">
        <x:v>StockSavvyShay</x:v>
      </x:c>
      <x:c r="E215" s="23" t="str">
        <x:v>bullish</x:v>
      </x:c>
      <x:c r="F215" s="34" t="n">
        <x:v>0.7</x:v>
      </x:c>
      <x:c r="G215" s="23" t="str">
        <x:v>needs_review</x:v>
      </x:c>
      <x:c r="H215" s="23" t="str">
        <x:v>stance</x:v>
      </x:c>
      <x:c r="I215" s="23" t="str">
        <x:v>first_mention</x:v>
      </x:c>
      <x:c r="J215" s="23" t="str">
        <x:v>catalyst</x:v>
      </x:c>
      <x:c r="K215" s="50" t="str">
        <x:v>T CEO가 ASTS와의 협력을 통해 직접 위성 서비스를 추진 중이며, 이는 ASTS에 긍정적 신호</x:v>
      </x:c>
      <x:c r="L215" s="50" t="str">
        <x:v>$T CEO John Stankey believes the company already has what it needs to launch a leading direct-to-device satellite service with $ASTS.
He said “We’re not betting on the next turn of a chip” adding the product can compete today without relying on future technology breakthroughs. https://t.co/SuKTNPjmZQ</x:v>
      </x:c>
      <x:c r="M215" s="65" t="str">
        <x:v>https://x.com/StockSavvyShay/status/2080631084233150751</x:v>
      </x:c>
      <x:c r="N215" s="23" t="str">
        <x:v>제외</x:v>
      </x:c>
    </x:row>
    <x:row r="216" ht="60" customHeight="1">
      <x:c r="A216" s="23" t="n">
        <x:v>1852</x:v>
      </x:c>
      <x:c r="B216" s="23" t="str">
        <x:v>NVDA</x:v>
      </x:c>
      <x:c r="C216" s="53" t="n">
        <x:v>46227.55972222222</x:v>
      </x:c>
      <x:c r="D216" s="23" t="str">
        <x:v>StockMKTNewz</x:v>
      </x:c>
      <x:c r="E216" s="23" t="str">
        <x:v>neutral</x:v>
      </x:c>
      <x:c r="F216" s="34" t="n">
        <x:v>0</x:v>
      </x:c>
      <x:c r="G216" s="23" t="str">
        <x:v>needs_review</x:v>
      </x:c>
      <x:c r="H216" s="23" t="str">
        <x:v>stance</x:v>
      </x:c>
      <x:c r="I216" s="23" t="str">
        <x:v>first_mention</x:v>
      </x:c>
      <x:c r="J216" s="23" t="str">
        <x:v>other</x:v>
      </x:c>
      <x:c r="K216" s="50" t="str">
        <x:v>CEO가 X에 첫 게시물을 올린 것은 주목할 만한 사건이나 투자 의견은 없음.</x:v>
      </x:c>
      <x:c r="L216" s="50" t="str">
        <x:v>NVIDIA $NVDA CEO JENSEN HUANG JUST MADE HIS FIRST POST ON X 👀
@JensenHuang</x:v>
      </x:c>
      <x:c r="M216" s="65" t="str">
        <x:v>https://x.com/StockMKTNewz/status/2080645676241703292</x:v>
      </x:c>
      <x:c r="N216" s="23" t="str">
        <x:v>제외</x:v>
      </x:c>
    </x:row>
    <x:row r="217" ht="60" customHeight="1">
      <x:c r="A217" s="23" t="n">
        <x:v>1855</x:v>
      </x:c>
      <x:c r="B217" s="23" t="str">
        <x:v>NVDA</x:v>
      </x:c>
      <x:c r="C217" s="53" t="n">
        <x:v>46227.562372685185</x:v>
      </x:c>
      <x:c r="D217" s="23" t="str">
        <x:v>StockSavvyShay</x:v>
      </x:c>
      <x:c r="E217" s="23" t="str">
        <x:v>bullish</x:v>
      </x:c>
      <x:c r="F217" s="34" t="n">
        <x:v>0.8</x:v>
      </x:c>
      <x:c r="G217" s="23" t="str">
        <x:v>auto</x:v>
      </x:c>
      <x:c r="H217" s="23"/>
      <x:c r="I217" s="23"/>
      <x:c r="J217" s="23" t="str">
        <x:v>valuation</x:v>
      </x:c>
      <x:c r="K217" s="50" t="str">
        <x:v>엔비디아가 시가총액 10조 달러에 도달할 것이다.</x:v>
      </x:c>
      <x:c r="L217" s="50" t="str">
        <x:v>@JensenHuang @nvidia Yeah $NVDA about to go to $10T  😅</x:v>
      </x:c>
      <x:c r="M217" s="65" t="str">
        <x:v>https://x.com/StockSavvyShay/status/2080646635223454076</x:v>
      </x:c>
      <x:c r="N217" s="23" t="str">
        <x:v>vote 변경</x:v>
      </x:c>
    </x:row>
    <x:row r="218" ht="60" customHeight="1">
      <x:c r="A218" s="23" t="n">
        <x:v>1857</x:v>
      </x:c>
      <x:c r="B218" s="23" t="str">
        <x:v>NVDA</x:v>
      </x:c>
      <x:c r="C218" s="53" t="n">
        <x:v>46227.56851851852</x:v>
      </x:c>
      <x:c r="D218" s="23" t="str">
        <x:v>StockSavvyShay</x:v>
      </x:c>
      <x:c r="E218" s="23" t="str">
        <x:v>bullish</x:v>
      </x:c>
      <x:c r="F218" s="34" t="n">
        <x:v>0.8</x:v>
      </x:c>
      <x:c r="G218" s="23" t="str">
        <x:v>auto</x:v>
      </x:c>
      <x:c r="H218" s="23"/>
      <x:c r="I218" s="23" t="str">
        <x:v>first_mention</x:v>
      </x:c>
      <x:c r="J218" s="23" t="str">
        <x:v>thesis</x:v>
      </x:c>
      <x:c r="K218" s="50" t="str">
        <x:v>오픈웨이트 AI 모델이 미국 경쟁력에 중요하며, 폐쇄형 모델에만 의존하는 것은 안전하지 않다고 주장</x:v>
      </x:c>
      <x:c r="L218" s="50" t="str">
        <x:v>$NVDA CEO Jensen Huang joins $MSFT, $PLTR and $NOW in arguing that open-weight AI models are critical to U.S. competitiveness.
The group writes “relying solely on closed models is not inherently safe” warning that concentrating advanced AI behind a few providers creates single points of failure.
They argue open models expand access, lower costs, strengthen competition and give organizations greater control over their data and infrastructure.</x:v>
      </x:c>
      <x:c r="M218" s="65" t="str">
        <x:v>https://x.com/StockSavvyShay/status/2080648862403096938</x:v>
      </x:c>
      <x:c r="N218" s="23" t="str">
        <x:v>vote 변경</x:v>
      </x:c>
    </x:row>
    <x:row r="219" ht="60" customHeight="1">
      <x:c r="A219" s="23" t="n">
        <x:v>1866</x:v>
      </x:c>
      <x:c r="B219" s="23" t="str">
        <x:v>ASTS</x:v>
      </x:c>
      <x:c r="C219" s="53" t="n">
        <x:v>46227.6125</x:v>
      </x:c>
      <x:c r="D219" s="23" t="str">
        <x:v>StockSavvyShay</x:v>
      </x:c>
      <x:c r="E219" s="23" t="str">
        <x:v>bullish</x:v>
      </x:c>
      <x:c r="F219" s="34" t="n">
        <x:v>0.8</x:v>
      </x:c>
      <x:c r="G219" s="23" t="str">
        <x:v>auto</x:v>
      </x:c>
      <x:c r="H219" s="23"/>
      <x:c r="I219" s="23" t="str">
        <x:v>first_mention</x:v>
      </x:c>
      <x:c r="J219" s="23" t="str">
        <x:v>catalyst</x:v>
      </x:c>
      <x:c r="K219" s="50" t="str">
        <x:v>VZ의 SPCX MVNO 거부는 ASTS의 통신사 우선 모델을 지지하며, VZ와의 합작 투자를 통해 위성 연결을 제공할 계획이 ASTS에 긍정적이다.</x:v>
      </x:c>
      <x:c r="L219" s="50" t="str">
        <x:v>$VZ rules out giving $SPCX Starlink MVNO access saying theres “no back door” through its wireless network.
The move supports $ASTS carrier-first model with Verizon instead planning to deliver satellite connectivity through its joint venture with $T and $TMUS. https://t.co/ba3yEGrw4s</x:v>
      </x:c>
      <x:c r="M219" s="65" t="str">
        <x:v>https://x.com/StockSavvyShay/status/2080664804004712746</x:v>
      </x:c>
      <x:c r="N219" s="23" t="str">
        <x:v>vote 변경</x:v>
      </x:c>
    </x:row>
    <x:row r="220" ht="60" customHeight="1">
      <x:c r="A220" s="23" t="n">
        <x:v>1872</x:v>
      </x:c>
      <x:c r="B220" s="23" t="str">
        <x:v>NVDA</x:v>
      </x:c>
      <x:c r="C220" s="53" t="n">
        <x:v>46227.66197916667</x:v>
      </x:c>
      <x:c r="D220" s="23" t="str">
        <x:v>StockSavvyShay</x:v>
      </x:c>
      <x:c r="E220" s="23" t="str">
        <x:v>bullish</x:v>
      </x:c>
      <x:c r="F220" s="34" t="n">
        <x:v>0.9</x:v>
      </x:c>
      <x:c r="G220" s="23" t="str">
        <x:v>auto</x:v>
      </x:c>
      <x:c r="H220" s="23"/>
      <x:c r="I220" s="23"/>
      <x:c r="J220" s="23" t="str">
        <x:v>growth</x:v>
      </x:c>
      <x:c r="K220" s="50" t="str">
        <x:v>NVDA는 직원당 매출이 경쟁사의 3배 이상이며, 희소한 AI 가속기로 인한 가격 결정력이 75%에 가까운 높은 마진을 유지하고 있음</x:v>
      </x:c>
      <x:c r="L220" s="50" t="str">
        <x:v>$NVDA generates ~$6M in revenue per employee which is more than 3x the next-highest chipmaker.
The gap also reflects extraordinary pricing power with scarce AI accelerators supporting gross margins near 75%. https://t.co/5guAOR2uPL</x:v>
      </x:c>
      <x:c r="M220" s="65" t="str">
        <x:v>https://x.com/StockSavvyShay/status/2080682732183798025</x:v>
      </x:c>
      <x:c r="N220" s="23" t="str">
        <x:v>vote 변경</x:v>
      </x:c>
    </x:row>
    <x:row r="221" ht="60" customHeight="1">
      <x:c r="A221" s="23" t="n">
        <x:v>1920</x:v>
      </x:c>
      <x:c r="B221" s="23" t="str">
        <x:v>NVDA</x:v>
      </x:c>
      <x:c r="C221" s="53" t="n">
        <x:v>46227.88025462963</x:v>
      </x:c>
      <x:c r="D221" s="23" t="str">
        <x:v>StockSavvyShay</x:v>
      </x:c>
      <x:c r="E221" s="23" t="str">
        <x:v>bearish</x:v>
      </x:c>
      <x:c r="F221" s="34" t="n">
        <x:v>1</x:v>
      </x:c>
      <x:c r="G221" s="23" t="str">
        <x:v>auto</x:v>
      </x:c>
      <x:c r="H221" s="23"/>
      <x:c r="I221" s="23" t="str">
        <x:v>first_mention</x:v>
      </x:c>
      <x:c r="J221" s="23" t="str">
        <x:v>positioning</x:v>
      </x:c>
      <x:c r="K221" s="50" t="str">
        <x:v>숏 포지션 추가</x:v>
      </x:c>
      <x:c r="L221" s="50" t="str">
        <x:v>Michael Burry says he added to his $MU short at $934 and his $NVDA short at $210. https://t.co/cufSuOmWsM</x:v>
      </x:c>
      <x:c r="M221" s="65" t="str">
        <x:v>https://x.com/StockSavvyShay/status/2080761835096285609</x:v>
      </x:c>
      <x:c r="N221" s="23" t="str">
        <x:v>vote 변경</x:v>
      </x:c>
    </x:row>
    <x:row r="222" ht="60" customHeight="1">
      <x:c r="A222" s="23" t="n">
        <x:v>1924</x:v>
      </x:c>
      <x:c r="B222" s="23" t="str">
        <x:v>NVDA</x:v>
      </x:c>
      <x:c r="C222" s="53" t="n">
        <x:v>46227.999560185184</x:v>
      </x:c>
      <x:c r="D222" s="23" t="str">
        <x:v>StockSavvyShay</x:v>
      </x:c>
      <x:c r="E222" s="23" t="str">
        <x:v>neutral</x:v>
      </x:c>
      <x:c r="F222" s="34" t="n">
        <x:v>0</x:v>
      </x:c>
      <x:c r="G222" s="23" t="str">
        <x:v>needs_review</x:v>
      </x:c>
      <x:c r="H222" s="23" t="str">
        <x:v>stance</x:v>
      </x:c>
      <x:c r="I222" s="23"/>
      <x:c r="J222" s="23" t="str">
        <x:v>other</x:v>
      </x:c>
      <x:c r="K222" s="50"/>
      <x:c r="L222" s="50" t="str">
        <x:v>$NVDA is working with $SKHY on a $500B AI initiative.
The plan includes a 2-gigawatt AI data center powered by Nvidia Vera Rubin chips and SK Hynix HBM4 memory. https://t.co/kvlrCK2ltM</x:v>
      </x:c>
      <x:c r="M222" s="65" t="str">
        <x:v>https://x.com/StockSavvyShay/status/2080805070413980038</x:v>
      </x:c>
      <x:c r="N222" s="23" t="str">
        <x:v>제외</x:v>
      </x:c>
    </x:row>
    <x:row r="223" ht="60" customHeight="1">
      <x:c r="A223" s="23" t="n">
        <x:v>1927</x:v>
      </x:c>
      <x:c r="B223" s="23" t="str">
        <x:v>NVDA</x:v>
      </x:c>
      <x:c r="C223" s="53" t="n">
        <x:v>46228.00701388889</x:v>
      </x:c>
      <x:c r="D223" s="23" t="str">
        <x:v>StockSavvyShay</x:v>
      </x:c>
      <x:c r="E223" s="23" t="str">
        <x:v>bearish</x:v>
      </x:c>
      <x:c r="F223" s="34" t="n">
        <x:v>0.8</x:v>
      </x:c>
      <x:c r="G223" s="23" t="str">
        <x:v>auto</x:v>
      </x:c>
      <x:c r="H223" s="23"/>
      <x:c r="I223" s="23" t="str">
        <x:v>unclear</x:v>
      </x:c>
      <x:c r="J223" s="23" t="str">
        <x:v>positioning</x:v>
      </x:c>
      <x:c r="K223" s="50" t="str">
        <x:v>Wild Burry가 NVDA 숏 포지션을 추가했으며, 더 많은 거래가 예상됨.</x:v>
      </x:c>
      <x:c r="L223" s="50" t="str">
        <x:v>@VanquishTrader Wild Burry actually added to his $NVDA short when we're about to get a ton more deals like this</x:v>
      </x:c>
      <x:c r="M223" s="65" t="str">
        <x:v>https://x.com/StockSavvyShay/status/2080807768215417030</x:v>
      </x:c>
      <x:c r="N223" s="23" t="str">
        <x:v>vote 변경</x:v>
      </x:c>
    </x:row>
    <x:row r="224" ht="60" customHeight="1">
      <x:c r="A224" s="23" t="n">
        <x:v>1974</x:v>
      </x:c>
      <x:c r="B224" s="23" t="str">
        <x:v>NVDA</x:v>
      </x:c>
      <x:c r="C224" s="53" t="n">
        <x:v>46228.44199074074</x:v>
      </x:c>
      <x:c r="D224" s="23" t="str">
        <x:v>StockMKTNewz</x:v>
      </x:c>
      <x:c r="E224" s="23" t="str">
        <x:v>bullish</x:v>
      </x:c>
      <x:c r="F224" s="34" t="n">
        <x:v>0.9</x:v>
      </x:c>
      <x:c r="G224" s="23" t="str">
        <x:v>auto</x:v>
      </x:c>
      <x:c r="H224" s="23"/>
      <x:c r="I224" s="23" t="str">
        <x:v>first_mention</x:v>
      </x:c>
      <x:c r="J224" s="23" t="str">
        <x:v>catalyst</x:v>
      </x:c>
      <x:c r="K224" s="50" t="str">
        <x:v>SK그룹과의 대규모 파트너십은 AI 인프라 확장과 차세대 메모리 공급 안정성을 강화하여 NVIDIA의 성장에 긍정적</x:v>
      </x:c>
      <x:c r="L224" s="50" t="str">
        <x:v>NVIDIA AND SK GROUP JUST ANNOUNCED A $500+ BILLION PARTNERSHIP.
SK Group $SKHY and Nvidia $NVDA signed letters of intent for a $500-billion-plus initiative spanning two fronts: AI factory construction and next-generation memory supply.
SK Telecom will build a 2-gigawatt NVIDIA Vera Rubin DSX AI Factory, first coming online in 2027, powered specifically by SK hynix HBM4.
Separately, NVIDIA and SK hynix are entering a long-term AI memory partnership which secures NVIDIA a stable supply of next-generation AI memory while giving SK hynix a locked-in foundation for growth.
The two companies will codevelop and optimize future HBM generations together.
NVIDIA CEO Jensen Huang: 
"South Korea has all the ingredients to become a global AI powerhouse, world-class networks and data centers, leadership in chip technology and vast industrial scale."</x:v>
      </x:c>
      <x:c r="M224" s="65" t="str">
        <x:v>https://x.com/StockMKTNewz/status/2080965400074838444</x:v>
      </x:c>
      <x:c r="N224" s="23" t="str">
        <x:v>vote 변경</x:v>
      </x:c>
    </x:row>
    <x:row r="225" ht="60" customHeight="1">
      <x:c r="A225" s="23" t="n">
        <x:v>1972</x:v>
      </x:c>
      <x:c r="B225" s="23" t="str">
        <x:v>NVDA</x:v>
      </x:c>
      <x:c r="C225" s="53" t="n">
        <x:v>46228.48295138889</x:v>
      </x:c>
      <x:c r="D225" s="23" t="str">
        <x:v>StockMKTNewz</x:v>
      </x:c>
      <x:c r="E225" s="23" t="str">
        <x:v>bearish</x:v>
      </x:c>
      <x:c r="F225" s="34" t="n">
        <x:v>0.9</x:v>
      </x:c>
      <x:c r="G225" s="23" t="str">
        <x:v>auto</x:v>
      </x:c>
      <x:c r="H225" s="23"/>
      <x:c r="I225" s="23" t="str">
        <x:v>first_mention</x:v>
      </x:c>
      <x:c r="J225" s="23" t="str">
        <x:v>positioning</x:v>
      </x:c>
      <x:c r="K225" s="50" t="str">
        <x:v>Michael Burry가 숏 포지션을 추가했다.</x:v>
      </x:c>
      <x:c r="L225" s="50" t="str">
        <x:v>Michael Burry disclosed that he added to his short positions in Nvidia $NVDA and Micron $MU https://t.co/UwjQICPnqI</x:v>
      </x:c>
      <x:c r="M225" s="65" t="str">
        <x:v>https://x.com/StockMKTNewz/status/2080980245025259788</x:v>
      </x:c>
      <x:c r="N225" s="23" t="str">
        <x:v>vote 변경</x:v>
      </x:c>
    </x:row>
    <x:row r="226" ht="60" customHeight="1">
      <x:c r="A226" s="23" t="n">
        <x:v>1978</x:v>
      </x:c>
      <x:c r="B226" s="23" t="str">
        <x:v>NVDA</x:v>
      </x:c>
      <x:c r="C226" s="53" t="n">
        <x:v>46228.56171296296</x:v>
      </x:c>
      <x:c r="D226" s="23" t="str">
        <x:v>StockMKTNewz</x:v>
      </x:c>
      <x:c r="E226" s="23" t="str">
        <x:v>neutral</x:v>
      </x:c>
      <x:c r="F226" s="34" t="n">
        <x:v>0.8</x:v>
      </x:c>
      <x:c r="G226" s="23" t="str">
        <x:v>auto</x:v>
      </x:c>
      <x:c r="H226" s="23"/>
      <x:c r="I226" s="23" t="str">
        <x:v>first_mention</x:v>
      </x:c>
      <x:c r="J226" s="23" t="str">
        <x:v>other</x:v>
      </x:c>
      <x:c r="K226" s="50" t="str">
        <x:v>엔비디아가 네이버에 10억 달러를 직접 투자하여 AI 팩토리 확장에 참여한다.</x:v>
      </x:c>
      <x:c r="L226" s="50" t="str">
        <x:v>NVIDIA IS PUTTING $1 BILLION INTO A SOUTH KOREAN 🇰🇷 INTERNET COMPANY. BROOKFIELD IS PUTTING IN NINE TIMES THAT
NAVER, NVIDIA $NVDA, and Brookfield $BN announced plans to more than triple Korea's NVIDIA DSX AI factory buildout, from 55 megawatts to 200 megawatts by 2028, with a longer-term path to 1 gigawatt.
NVIDIA plans to invest $1 billion directly into NAVER. Brookfield has signed a nonbinding term sheet to fund up to $9 billion, contingent on NAVER finalizing that financing separately.
Jensen Huang: "AI factories are the infrastructure nations need to compete and innovate in the intelligence era."</x:v>
      </x:c>
      <x:c r="M226" s="65" t="str">
        <x:v>https://x.com/StockMKTNewz/status/2081008784583938428</x:v>
      </x:c>
      <x:c r="N226" s="23" t="str">
        <x:v>근거만</x:v>
      </x:c>
    </x:row>
    <x:row r="227" ht="60" customHeight="1">
      <x:c r="A227" s="23" t="n">
        <x:v>1934</x:v>
      </x:c>
      <x:c r="B227" s="23" t="str">
        <x:v>NVDA</x:v>
      </x:c>
      <x:c r="C227" s="53" t="n">
        <x:v>46228.57201388889</x:v>
      </x:c>
      <x:c r="D227" s="23" t="str">
        <x:v>StockSavvyShay</x:v>
      </x:c>
      <x:c r="E227" s="23" t="str">
        <x:v>bullish</x:v>
      </x:c>
      <x:c r="F227" s="34" t="n">
        <x:v>0.9</x:v>
      </x:c>
      <x:c r="G227" s="23" t="str">
        <x:v>auto</x:v>
      </x:c>
      <x:c r="H227" s="23"/>
      <x:c r="I227" s="23"/>
      <x:c r="J227" s="23" t="str">
        <x:v>thesis</x:v>
      </x:c>
      <x:c r="K227" s="50" t="str">
        <x:v>NVDA가 글로벌 AI 경제를 주도한다.</x:v>
      </x:c>
      <x:c r="L227" s="50" t="str">
        <x:v>@VanquishTrader $NVDA really does run the global AI economy</x:v>
      </x:c>
      <x:c r="M227" s="65" t="str">
        <x:v>https://x.com/StockSavvyShay/status/2081012516990431378</x:v>
      </x:c>
      <x:c r="N227" s="23" t="str">
        <x:v>vote 변경</x:v>
      </x:c>
    </x:row>
    <x:row r="228" ht="60" customHeight="1">
      <x:c r="A228" s="23" t="n">
        <x:v>1943</x:v>
      </x:c>
      <x:c r="B228" s="23" t="str">
        <x:v>ASTS</x:v>
      </x:c>
      <x:c r="C228" s="53" t="n">
        <x:v>46228.572175925925</x:v>
      </x:c>
      <x:c r="D228" s="23" t="str">
        <x:v>StockSavvyShay</x:v>
      </x:c>
      <x:c r="E228" s="23" t="str">
        <x:v>neutral</x:v>
      </x:c>
      <x:c r="F228" s="34" t="n">
        <x:v>0</x:v>
      </x:c>
      <x:c r="G228" s="23" t="str">
        <x:v>needs_review</x:v>
      </x:c>
      <x:c r="H228" s="23" t="str">
        <x:v>stance</x:v>
      </x:c>
      <x:c r="I228" s="23"/>
      <x:c r="J228" s="23" t="str">
        <x:v>other</x:v>
      </x:c>
      <x:c r="K228" s="50"/>
      <x:c r="L228" s="50" t="str">
        <x:v>GROWTH STOCKS HAVE BEEN CRUSHED FROM RECENT HIGHS
• $EOSE -82%
• $OKLO -77%
• $NVTS -66%
• $ORCL -65%
• $CRWV -61%
• $IONQ -60%
• $PL -60%
• $HIMS -59%
• $ASTS -58%
• $TE -58%
• $RKLB -57%
• $AAOI -55%
• $IREN -52%
• $ONDS -44%
• $SPCX -43%
• $PLTR -41%</x:v>
      </x:c>
      <x:c r="M228" s="65" t="str">
        <x:v>https://x.com/StockSavvyShay/status/2081012577291940174</x:v>
      </x:c>
      <x:c r="N228" s="23" t="str">
        <x:v>제외</x:v>
      </x:c>
    </x:row>
    <x:row r="229" ht="60" customHeight="1">
      <x:c r="A229" s="23" t="n">
        <x:v>1946</x:v>
      </x:c>
      <x:c r="B229" s="23" t="str">
        <x:v>AAOI</x:v>
      </x:c>
      <x:c r="C229" s="53" t="n">
        <x:v>46228.572175925925</x:v>
      </x:c>
      <x:c r="D229" s="23" t="str">
        <x:v>StockSavvyShay</x:v>
      </x:c>
      <x:c r="E229" s="23" t="str">
        <x:v>neutral</x:v>
      </x:c>
      <x:c r="F229" s="34" t="n">
        <x:v>0</x:v>
      </x:c>
      <x:c r="G229" s="23" t="str">
        <x:v>needs_review</x:v>
      </x:c>
      <x:c r="H229" s="23" t="str">
        <x:v>stance</x:v>
      </x:c>
      <x:c r="I229" s="23"/>
      <x:c r="J229" s="23" t="str">
        <x:v>other</x:v>
      </x:c>
      <x:c r="K229" s="50"/>
      <x:c r="L229" s="50" t="str">
        <x:v>GROWTH STOCKS HAVE BEEN CRUSHED FROM RECENT HIGHS
• $EOSE -82%
• $OKLO -77%
• $NVTS -66%
• $ORCL -65%
• $CRWV -61%
• $IONQ -60%
• $PL -60%
• $HIMS -59%
• $ASTS -58%
• $TE -58%
• $RKLB -57%
• $AAOI -55%
• $IREN -52%
• $ONDS -44%
• $SPCX -43%
• $PLTR -41%</x:v>
      </x:c>
      <x:c r="M229" s="65" t="str">
        <x:v>https://x.com/StockSavvyShay/status/2081012577291940174</x:v>
      </x:c>
      <x:c r="N229" s="23" t="str">
        <x:v>제외</x:v>
      </x:c>
    </x:row>
    <x:row r="230" ht="60" customHeight="1">
      <x:c r="A230" s="23" t="n">
        <x:v>1952</x:v>
      </x:c>
      <x:c r="B230" s="23" t="str">
        <x:v>NVDA</x:v>
      </x:c>
      <x:c r="C230" s="53" t="n">
        <x:v>46228.60265046296</x:v>
      </x:c>
      <x:c r="D230" s="23" t="str">
        <x:v>StockSavvyShay</x:v>
      </x:c>
      <x:c r="E230" s="23" t="str">
        <x:v>bullish</x:v>
      </x:c>
      <x:c r="F230" s="34" t="n">
        <x:v>1</x:v>
      </x:c>
      <x:c r="G230" s="23" t="str">
        <x:v>auto</x:v>
      </x:c>
      <x:c r="H230" s="23"/>
      <x:c r="I230" s="23"/>
      <x:c r="J230" s="23" t="str">
        <x:v>positioning</x:v>
      </x:c>
      <x:c r="K230" s="50" t="str">
        <x:v>작성자가 NVDA에 대해 강세 의견을 표명했습니다.</x:v>
      </x:c>
      <x:c r="L230" s="50" t="str">
        <x:v>KEY LEVELS TO WATCH FOR POPULAR STOCKS
• Bullish: $NVDA, $AMD, $CIFR
• Hold: $MU, $AVGO, $NBIS, $AEHR, $AAOI
• Bearish: $TSLA, $PLTR, $HOOD, $ONDS, $OKLO, $RKLB, $ASTS, $IONQ, $HIMS, $OPEN, $SOFI, $IREN https://t.co/mHtkBveFec</x:v>
      </x:c>
      <x:c r="M230" s="65" t="str">
        <x:v>https://x.com/StockSavvyShay/status/2081023620172939424</x:v>
      </x:c>
      <x:c r="N230" s="23" t="str">
        <x:v>vote 변경</x:v>
      </x:c>
    </x:row>
    <x:row r="231" ht="60" customHeight="1">
      <x:c r="A231" s="23" t="n">
        <x:v>1959</x:v>
      </x:c>
      <x:c r="B231" s="23" t="str">
        <x:v>AAOI</x:v>
      </x:c>
      <x:c r="C231" s="53" t="n">
        <x:v>46228.60265046296</x:v>
      </x:c>
      <x:c r="D231" s="23" t="str">
        <x:v>StockSavvyShay</x:v>
      </x:c>
      <x:c r="E231" s="23" t="str">
        <x:v>neutral</x:v>
      </x:c>
      <x:c r="F231" s="34" t="n">
        <x:v>1</x:v>
      </x:c>
      <x:c r="G231" s="23" t="str">
        <x:v>needs_review</x:v>
      </x:c>
      <x:c r="H231" s="23" t="str">
        <x:v>claim</x:v>
      </x:c>
      <x:c r="I231" s="23"/>
      <x:c r="J231" s="23" t="str">
        <x:v>positioning</x:v>
      </x:c>
      <x:c r="K231" s="50" t="str">
        <x:v>작성자가 AAOI에 대해 중립(보유) 의견을 표명했습니다.</x:v>
      </x:c>
      <x:c r="L231" s="50" t="str">
        <x:v>KEY LEVELS TO WATCH FOR POPULAR STOCKS
• Bullish: $NVDA, $AMD, $CIFR
• Hold: $MU, $AVGO, $NBIS, $AEHR, $AAOI
• Bearish: $TSLA, $PLTR, $HOOD, $ONDS, $OKLO, $RKLB, $ASTS, $IONQ, $HIMS, $OPEN, $SOFI, $IREN https://t.co/mHtkBveFec</x:v>
      </x:c>
      <x:c r="M231" s="65" t="str">
        <x:v>https://x.com/StockSavvyShay/status/2081023620172939424</x:v>
      </x:c>
      <x:c r="N231" s="23" t="str">
        <x:v>제외</x:v>
      </x:c>
    </x:row>
    <x:row r="232" ht="60" customHeight="1">
      <x:c r="A232" s="23" t="n">
        <x:v>1966</x:v>
      </x:c>
      <x:c r="B232" s="23" t="str">
        <x:v>ASTS</x:v>
      </x:c>
      <x:c r="C232" s="53" t="n">
        <x:v>46228.60265046296</x:v>
      </x:c>
      <x:c r="D232" s="23" t="str">
        <x:v>StockSavvyShay</x:v>
      </x:c>
      <x:c r="E232" s="23" t="str">
        <x:v>bearish</x:v>
      </x:c>
      <x:c r="F232" s="34" t="n">
        <x:v>1</x:v>
      </x:c>
      <x:c r="G232" s="23" t="str">
        <x:v>needs_review</x:v>
      </x:c>
      <x:c r="H232" s="23" t="str">
        <x:v>claim</x:v>
      </x:c>
      <x:c r="I232" s="23"/>
      <x:c r="J232" s="23" t="str">
        <x:v>positioning</x:v>
      </x:c>
      <x:c r="K232" s="50" t="str">
        <x:v>작성자가 ASTS에 대해 약세 의견을 표명했습니다.</x:v>
      </x:c>
      <x:c r="L232" s="50" t="str">
        <x:v>KEY LEVELS TO WATCH FOR POPULAR STOCKS
• Bullish: $NVDA, $AMD, $CIFR
• Hold: $MU, $AVGO, $NBIS, $AEHR, $AAOI
• Bearish: $TSLA, $PLTR, $HOOD, $ONDS, $OKLO, $RKLB, $ASTS, $IONQ, $HIMS, $OPEN, $SOFI, $IREN https://t.co/mHtkBveFec</x:v>
      </x:c>
      <x:c r="M232" s="65" t="str">
        <x:v>https://x.com/StockSavvyShay/status/2081023620172939424</x:v>
      </x:c>
      <x:c r="N232" s="23" t="str">
        <x:v>제외</x:v>
      </x:c>
    </x:row>
    <x:row r="233" ht="60" customHeight="1">
      <x:c r="A233" s="23" t="n">
        <x:v>2007</x:v>
      </x:c>
      <x:c r="B233" s="23" t="str">
        <x:v>NVDA</x:v>
      </x:c>
      <x:c r="C233" s="53" t="n">
        <x:v>46228.64502314815</x:v>
      </x:c>
      <x:c r="D233" s="23" t="str">
        <x:v>StockSavvyShay</x:v>
      </x:c>
      <x:c r="E233" s="23" t="str">
        <x:v>bullish</x:v>
      </x:c>
      <x:c r="F233" s="34" t="n">
        <x:v>0.8</x:v>
      </x:c>
      <x:c r="G233" s="23" t="str">
        <x:v>auto</x:v>
      </x:c>
      <x:c r="H233" s="23"/>
      <x:c r="I233" s="23"/>
      <x:c r="J233" s="23" t="str">
        <x:v>valuation</x:v>
      </x:c>
      <x:c r="K233" s="50" t="str">
        <x:v>2027년 예상 PER 16배로 저평가</x:v>
      </x:c>
      <x:c r="L233" s="50" t="str">
        <x:v>ThE mArKeT iS iN sUcH a BuBbLe
Yet these are the 2027 earnings multiples for some of the world’s biggest companies:
• $AMZN ~23x
• $GOOGL ~22x
• $NOW ~22x
• $MSFT ~20x
• $AVGO ~20x
• $DELL ~20x
• $TSM ~19x
• $NVDA ~16x
• $META ~16x
• $ORCL ~11x
• $SNDK ~7x
• $MU ~6x
• $SKHY ~4x</x:v>
      </x:c>
      <x:c r="M233" s="65" t="str">
        <x:v>https://x.com/StockSavvyShay/status/2081038977809924324</x:v>
      </x:c>
      <x:c r="N233" s="23" t="str">
        <x:v>vote 변경</x:v>
      </x:c>
    </x:row>
    <x:row r="234" ht="60" customHeight="1">
      <x:c r="A234" s="23" t="n">
        <x:v>2019</x:v>
      </x:c>
      <x:c r="B234" s="23" t="str">
        <x:v>NVDA</x:v>
      </x:c>
      <x:c r="C234" s="53" t="n">
        <x:v>46228.668958333335</x:v>
      </x:c>
      <x:c r="D234" s="23" t="str">
        <x:v>StockSavvyShay</x:v>
      </x:c>
      <x:c r="E234" s="23" t="str">
        <x:v>bullish</x:v>
      </x:c>
      <x:c r="F234" s="34" t="n">
        <x:v>0.9</x:v>
      </x:c>
      <x:c r="G234" s="23" t="str">
        <x:v>auto</x:v>
      </x:c>
      <x:c r="H234" s="23"/>
      <x:c r="I234" s="23" t="str">
        <x:v>new_claim</x:v>
      </x:c>
      <x:c r="J234" s="23" t="str">
        <x:v>thesis</x:v>
      </x:c>
      <x:c r="K234" s="50" t="str">
        <x:v>NVDA는 AI 가속기 수요가 추론, 에이전트 AI, 커스텀 실리콘으로 확장되어 사이클이 길어질 것</x:v>
      </x:c>
      <x:c r="L234" s="50" t="str">
        <x:v>A MESSAGE TO THE AI BEARS
When AI bears look at the low multiples $SKHY, $MU, $SNDK and Samsung then the response is usually some version of “earnings multiples are meaningless for cyclical companies at peak demand and peak margins.” 
The reason these suppliers trade at such low multiples is precisely because the market already assumes today’s earnings are temporary... people aren't valuing current margins as permanent so the debate is really about duration. 
If earnings peak this year and begin collapsing shortly afterward then the low multiples are traps and I agree with the bears but if supply remains tight for several more years (which I do) then those valuations are WAY understated with how much cash the companies will generate before the cycle turns.
SK Hynix has said the shortage could remain severe through the end of the decade while Samsung has also pointed toward meaningful tightness continuing through at least 2027. 
These companies obviously benefit from presenting a strong outlook so their forecasts shouldn't be accepted blindly but they also have the clearest view into customer commitments, equipment orders, wafer capacity, packaging constraints and the production schedules of the entire industry.
The double-ordering argument also deserves a bit more context because a weak fill rate can sometimes indicate ghost demand but it can also mean customers are trying to secure supply they genuinely cannot obtain. 
The stronger evidence for me is from the structure of the agreements since customers are signing multiyear contracts, accepting pricing floors and ceilings, providing prepayments and in some cases helping suppliers fund additional capacity (temporary demand usually doesn't commit capital years ahead or help finance the supplier’s expansion).
This cycle also looks different from a traditional cycles because the physical bottleneck is much harder to solve since HBM consumes substantially more wafer capacity than standard DRAM while each new generation becomes more difficult to manufacture and package. 
As the memory suppliers move from HBM3E toward HBM4, HBM4E and later generations, part of every capacity increase is absorbed by the greater manufacturing intensity of the product itself.
That same narrative supports $TSM and $ASML because more advanced AI chips require leading edge wafer capacity, EUV tools, advanced packaging and years of coordinated capital investment before supply can meaningfully expand. 
TSMC doesn't add capacity overnight while ASML machines sit at the beginning of nearly every leading edge production roadmap which makes the supply response slower and more capital intensive than a normal short-cycle industry.
$NVDA, $AMD, and $AVGO sit one layer closer to the end demand but the same duration question applies since bears say $META, $GOOGL, $AMZN and $MSFT are overordering accelerators and custom silicon which eventually creates excess inventory and falling margins but my takeaway is that training demand is being joined by inference, agentic AI and custom silicon programs that extend the cycle way longer than people expect. 
The argument that these companies are at peak demand also becomes less convincing when the bottlenecks continue moving across the stack since one quarter the shortage is GPUs, then its HBM, then advanced packaging, then optical connectivity, then power, cooling or data center capacity. 
Again that doesn't mean shortages last forever but it does suggest the buildout is still expanding across several physical layers rather than reaching a clean and obvious peak.
I agree that cyclicality hasn't disappeared since semiconductors will eventually reach a point where supply catches up with demand, pricing weakens and margins decline but I really think people need to compare the expected duration of the shortage with current valuations, contract structures, capacity timelines and the risk that AI demand slows before new supply reaches the market.
The industry will eventually normalize but if the market is valuing many companies as though earnings collapse next year while supplier commentary and fab timelines point to tightness lasting much longer then the low multiple may represent opportunity rather than warning.</x:v>
      </x:c>
      <x:c r="M234" s="65" t="str">
        <x:v>https://x.com/StockSavvyShay/status/2081047650003231145</x:v>
      </x:c>
      <x:c r="N234" s="23" t="str">
        <x:v>vote 변경</x:v>
      </x:c>
    </x:row>
    <x:row r="235" ht="60" customHeight="1">
      <x:c r="A235" s="23" t="n">
        <x:v>2029</x:v>
      </x:c>
      <x:c r="B235" s="23" t="str">
        <x:v>NVDA</x:v>
      </x:c>
      <x:c r="C235" s="53" t="n">
        <x:v>46229.15556712963</x:v>
      </x:c>
      <x:c r="D235" s="23" t="str">
        <x:v>StockSavvyShay</x:v>
      </x:c>
      <x:c r="E235" s="23" t="str">
        <x:v>neutral</x:v>
      </x:c>
      <x:c r="F235" s="34" t="n">
        <x:v>0.5</x:v>
      </x:c>
      <x:c r="G235" s="23" t="str">
        <x:v>needs_review</x:v>
      </x:c>
      <x:c r="H235" s="23" t="str">
        <x:v>stance</x:v>
      </x:c>
      <x:c r="I235" s="23" t="str">
        <x:v>unclear</x:v>
      </x:c>
      <x:c r="J235" s="23" t="str">
        <x:v>other</x:v>
      </x:c>
      <x:c r="K235" s="50"/>
      <x:c r="L235" s="50" t="str">
        <x:v>$NBIS signs the Open Weights and American AI Leadership letter joining $NVDA in backing open models.
The group warns that “relying solely on closed models is not inherently safe” saying open weights expand access, lower costs and reduce dependence on a few providers. https://t.co/lyhNYiHyY7</x:v>
      </x:c>
      <x:c r="M235" s="65" t="str">
        <x:v>https://x.com/StockSavvyShay/status/2081223991780602092</x:v>
      </x:c>
      <x:c r="N235" s="23" t="str">
        <x:v>제외</x:v>
      </x:c>
    </x:row>
    <x:row r="236" ht="60" customHeight="1">
      <x:c r="A236" s="23" t="n">
        <x:v>2030</x:v>
      </x:c>
      <x:c r="B236" s="23" t="str">
        <x:v>NVDA</x:v>
      </x:c>
      <x:c r="C236" s="53" t="n">
        <x:v>46229.507731481484</x:v>
      </x:c>
      <x:c r="D236" s="23" t="str">
        <x:v>StockSavvyShay</x:v>
      </x:c>
      <x:c r="E236" s="23" t="str">
        <x:v>bullish</x:v>
      </x:c>
      <x:c r="F236" s="34" t="n">
        <x:v>0.9</x:v>
      </x:c>
      <x:c r="G236" s="23" t="str">
        <x:v>auto</x:v>
      </x:c>
      <x:c r="H236" s="23"/>
      <x:c r="I236" s="23" t="str">
        <x:v>first_mention</x:v>
      </x:c>
      <x:c r="J236" s="23" t="str">
        <x:v>growth</x:v>
      </x:c>
      <x:c r="K236" s="50" t="str">
        <x:v>반도체 산업이 향후 10년간 10배 성장할 것이며, AI 에이전트와 로봇이 수요를 주도할 것이라고 CEO가 예상</x:v>
      </x:c>
      <x:c r="L236" s="50" t="str">
        <x:v>$NVDA CEO Jensen Huang expects the semiconductor industry to grow 10x over the next decade as billions of AI agents and robots drive compute demand.
He says that surge is already straining the entire chip supply chain including HBM from $SKHY, $MU and Samsung. https://t.co/sJf3HMrN1u</x:v>
      </x:c>
      <x:c r="M236" s="65" t="str">
        <x:v>https://x.com/StockSavvyShay/status/2081351613361553822</x:v>
      </x:c>
      <x:c r="N236" s="23" t="str">
        <x:v>vote 변경</x:v>
      </x:c>
    </x:row>
    <x:row r="237" ht="60" customHeight="1">
      <x:c r="A237" s="23" t="n">
        <x:v>2034</x:v>
      </x:c>
      <x:c r="B237" s="23" t="str">
        <x:v>NVDA</x:v>
      </x:c>
      <x:c r="C237" s="53" t="n">
        <x:v>46229.527280092596</x:v>
      </x:c>
      <x:c r="D237" s="23" t="str">
        <x:v>StockSavvyShay</x:v>
      </x:c>
      <x:c r="E237" s="23" t="str">
        <x:v>bullish</x:v>
      </x:c>
      <x:c r="F237" s="34" t="n">
        <x:v>0.7</x:v>
      </x:c>
      <x:c r="G237" s="23" t="str">
        <x:v>needs_review</x:v>
      </x:c>
      <x:c r="H237" s="23" t="str">
        <x:v>claim</x:v>
      </x:c>
      <x:c r="I237" s="23" t="str">
        <x:v>first_mention</x:v>
      </x:c>
      <x:c r="J237" s="23" t="str">
        <x:v>catalyst</x:v>
      </x:c>
      <x:c r="K237" s="50" t="str">
        <x:v>META의 AI 스토리지 재설계로 NVDA 가속기 수요 증가</x:v>
      </x:c>
      <x:c r="L237" s="50" t="str">
        <x:v>$META redesigns its AI storage architecture to keep $NVDA &amp;amp; $AMD accelerators fed as storage becomes a growing bottleneck to GPU utilization.
The shift directly benefits $MU, $SKHY &amp;amp; Samsung supplying HBM &amp;amp; DRAM while $SNDK gains from storage moving closer to GPU clusters. https://t.co/ju25YilSXr</x:v>
      </x:c>
      <x:c r="M237" s="65" t="str">
        <x:v>https://x.com/StockSavvyShay/status/2081358695599059106</x:v>
      </x:c>
      <x:c r="N237" s="23" t="str">
        <x:v>제외</x:v>
      </x:c>
    </x:row>
    <x:row r="238" ht="60" customHeight="1">
      <x:c r="A238" s="23" t="n">
        <x:v>2042</x:v>
      </x:c>
      <x:c r="B238" s="23" t="str">
        <x:v>NVDA</x:v>
      </x:c>
      <x:c r="C238" s="53" t="n">
        <x:v>46229.584965277776</x:v>
      </x:c>
      <x:c r="D238" s="23" t="str">
        <x:v>StockSavvyShay</x:v>
      </x:c>
      <x:c r="E238" s="23" t="str">
        <x:v>bullish</x:v>
      </x:c>
      <x:c r="F238" s="34" t="n">
        <x:v>0.8</x:v>
      </x:c>
      <x:c r="G238" s="23" t="str">
        <x:v>auto</x:v>
      </x:c>
      <x:c r="H238" s="23"/>
      <x:c r="I238" s="23"/>
      <x:c r="J238" s="23" t="str">
        <x:v>thesis</x:v>
      </x:c>
      <x:c r="K238" s="50" t="str">
        <x:v>AI 가속기 듀오폴리의 중심</x:v>
      </x:c>
      <x:c r="L238" s="50" t="str">
        <x:v>10 WAYS TO INVEST IN THE AI DATA CENTER BUILDOUT
Data center demand is expected to nearly quadruple to 194 GW by 2035 as AI scales across more users, more tokens per user and more compute per token.
Here are some of my favorite names positioned to benefit:
1. $TSM foundry manufacturing the accelerators, custom chips &amp; networking silicon that nearly the entire AI buildout depends on.
2. $VRT liquid-cooling leader benefiting as rack density rises &amp; AI systems require increasingly advanced thermal management.
3. $NVDA &amp; $AMD accelerator duopoly at center of AI buildout with Nvidia's Vera Rubin entering full production &amp; AMD’s Helios rack-scale systems emerging as a credible second source.
4. $MU &amp; $SKHY memory engines of the AI era with HBM content scaling on every rack with data center margins above Nvidia's at segment level while suppliers themselves forecast shortage running into 2030.
5. $AVGO &amp; $MRVL custom-silicon backbone, designing accelerators, networking chips &amp; hyperscaler ASICs that capture more content across every AI rack.
6. $CRDO &amp; $ALAB high-speed connectivity layer supplying the interconnect that lashes thousands of accelerators into one fabric
7. $OKLO &amp; $SMR next-gen nuclear frontier with Oklo building the "local power plant" targeting microreactors beside data center campuses &amp; NuScale developing larger modular reactors for utility-scale power.
8. $BE, $CEG &amp; $VST provide power behind the AI buildout with Bloom delivering onsite fuel cells that bypass grid delays while Constellation &amp; Vistra supply large-scale nuclear, gas &amp; storage capacity to hyperscalers.
9. $LITE, $COHR &amp; $AAOI optical layer benefiting from the transition from 800G to 1.6T with Lumentum &amp; Coherent as components suppliers Nvidia took equity stakes in to secure next-generation optics capacity while AAOI is ramping U.S.-based 800G transceiver production for hyperscalers.
10. $ASML, $AMAT, $LRCX &amp; $KLAC form equipment layer behind every new fab &amp; packaging line with ASML’s EUV monopoly as ultimate chokepoint &amp; Applied Materials, Lam &amp; KLA supplying the deposition, etch &amp; inspection tools required for every capacity expansion.</x:v>
      </x:c>
      <x:c r="M238" s="65" t="str">
        <x:v>https://x.com/StockSavvyShay/status/2081379601545351630</x:v>
      </x:c>
      <x:c r="N238" s="23" t="str">
        <x:v>vote 변경</x:v>
      </x:c>
    </x:row>
    <x:row r="239" ht="60" customHeight="1">
      <x:c r="A239" s="23" t="n">
        <x:v>2055</x:v>
      </x:c>
      <x:c r="B239" s="23" t="str">
        <x:v>LITE</x:v>
      </x:c>
      <x:c r="C239" s="53" t="n">
        <x:v>46229.584965277776</x:v>
      </x:c>
      <x:c r="D239" s="23" t="str">
        <x:v>StockSavvyShay</x:v>
      </x:c>
      <x:c r="E239" s="23" t="str">
        <x:v>bullish</x:v>
      </x:c>
      <x:c r="F239" s="34" t="n">
        <x:v>0.8</x:v>
      </x:c>
      <x:c r="G239" s="23" t="str">
        <x:v>auto</x:v>
      </x:c>
      <x:c r="H239" s="23"/>
      <x:c r="I239" s="23"/>
      <x:c r="J239" s="23" t="str">
        <x:v>thesis</x:v>
      </x:c>
      <x:c r="K239" s="50" t="str">
        <x:v>광학 계층, 800G에서 1.6T 전환 수혜</x:v>
      </x:c>
      <x:c r="L239" s="50" t="str">
        <x:v>10 WAYS TO INVEST IN THE AI DATA CENTER BUILDOUT
Data center demand is expected to nearly quadruple to 194 GW by 2035 as AI scales across more users, more tokens per user and more compute per token.
Here are some of my favorite names positioned to benefit:
1. $TSM foundry manufacturing the accelerators, custom chips &amp; networking silicon that nearly the entire AI buildout depends on.
2. $VRT liquid-cooling leader benefiting as rack density rises &amp; AI systems require increasingly advanced thermal management.
3. $NVDA &amp; $AMD accelerator duopoly at center of AI buildout with Nvidia's Vera Rubin entering full production &amp; AMD’s Helios rack-scale systems emerging as a credible second source.
4. $MU &amp; $SKHY memory engines of the AI era with HBM content scaling on every rack with data center margins above Nvidia's at segment level while suppliers themselves forecast shortage running into 2030.
5. $AVGO &amp; $MRVL custom-silicon backbone, designing accelerators, networking chips &amp; hyperscaler ASICs that capture more content across every AI rack.
6. $CRDO &amp; $ALAB high-speed connectivity layer supplying the interconnect that lashes thousands of accelerators into one fabric
7. $OKLO &amp; $SMR next-gen nuclear frontier with Oklo building the "local power plant" targeting microreactors beside data center campuses &amp; NuScale developing larger modular reactors for utility-scale power.
8. $BE, $CEG &amp; $VST provide power behind the AI buildout with Bloom delivering onsite fuel cells that bypass grid delays while Constellation &amp; Vistra supply large-scale nuclear, gas &amp; storage capacity to hyperscalers.
9. $LITE, $COHR &amp; $AAOI optical layer benefiting from the transition from 800G to 1.6T with Lumentum &amp; Coherent as components suppliers Nvidia took equity stakes in to secure next-generation optics capacity while AAOI is ramping U.S.-based 800G transceiver production for hyperscalers.
10. $ASML, $AMAT, $LRCX &amp; $KLAC form equipment layer behind every new fab &amp; packaging line with ASML’s EUV monopoly as ultimate chokepoint &amp; Applied Materials, Lam &amp; KLA supplying the deposition, etch &amp; inspection tools required for every capacity expansion.</x:v>
      </x:c>
      <x:c r="M239" s="65" t="str">
        <x:v>https://x.com/StockSavvyShay/status/2081379601545351630</x:v>
      </x:c>
      <x:c r="N239" s="23" t="str">
        <x:v>vote 변경</x:v>
      </x:c>
    </x:row>
    <x:row r="240" ht="60" customHeight="1">
      <x:c r="A240" s="23" t="n">
        <x:v>2056</x:v>
      </x:c>
      <x:c r="B240" s="23" t="str">
        <x:v>COHR</x:v>
      </x:c>
      <x:c r="C240" s="53" t="n">
        <x:v>46229.584965277776</x:v>
      </x:c>
      <x:c r="D240" s="23" t="str">
        <x:v>StockSavvyShay</x:v>
      </x:c>
      <x:c r="E240" s="23" t="str">
        <x:v>bullish</x:v>
      </x:c>
      <x:c r="F240" s="34" t="n">
        <x:v>0.8</x:v>
      </x:c>
      <x:c r="G240" s="23" t="str">
        <x:v>auto</x:v>
      </x:c>
      <x:c r="H240" s="23"/>
      <x:c r="I240" s="23"/>
      <x:c r="J240" s="23" t="str">
        <x:v>thesis</x:v>
      </x:c>
      <x:c r="K240" s="50" t="str">
        <x:v>광학 계층, 800G에서 1.6T 전환 수혜</x:v>
      </x:c>
      <x:c r="L240" s="50" t="str">
        <x:v>10 WAYS TO INVEST IN THE AI DATA CENTER BUILDOUT
Data center demand is expected to nearly quadruple to 194 GW by 2035 as AI scales across more users, more tokens per user and more compute per token.
Here are some of my favorite names positioned to benefit:
1. $TSM foundry manufacturing the accelerators, custom chips &amp; networking silicon that nearly the entire AI buildout depends on.
2. $VRT liquid-cooling leader benefiting as rack density rises &amp; AI systems require increasingly advanced thermal management.
3. $NVDA &amp; $AMD accelerator duopoly at center of AI buildout with Nvidia's Vera Rubin entering full production &amp; AMD’s Helios rack-scale systems emerging as a credible second source.
4. $MU &amp; $SKHY memory engines of the AI era with HBM content scaling on every rack with data center margins above Nvidia's at segment level while suppliers themselves forecast shortage running into 2030.
5. $AVGO &amp; $MRVL custom-silicon backbone, designing accelerators, networking chips &amp; hyperscaler ASICs that capture more content across every AI rack.
6. $CRDO &amp; $ALAB high-speed connectivity layer supplying the interconnect that lashes thousands of accelerators into one fabric
7. $OKLO &amp; $SMR next-gen nuclear frontier with Oklo building the "local power plant" targeting microreactors beside data center campuses &amp; NuScale developing larger modular reactors for utility-scale power.
8. $BE, $CEG &amp; $VST provide power behind the AI buildout with Bloom delivering onsite fuel cells that bypass grid delays while Constellation &amp; Vistra supply large-scale nuclear, gas &amp; storage capacity to hyperscalers.
9. $LITE, $COHR &amp; $AAOI optical layer benefiting from the transition from 800G to 1.6T with Lumentum &amp; Coherent as components suppliers Nvidia took equity stakes in to secure next-generation optics capacity while AAOI is ramping U.S.-based 800G transceiver production for hyperscalers.
10. $ASML, $AMAT, $LRCX &amp; $KLAC form equipment layer behind every new fab &amp; packaging line with ASML’s EUV monopoly as ultimate chokepoint &amp; Applied Materials, Lam &amp; KLA supplying the deposition, etch &amp; inspection tools required for every capacity expansion.</x:v>
      </x:c>
      <x:c r="M240" s="65" t="str">
        <x:v>https://x.com/StockSavvyShay/status/2081379601545351630</x:v>
      </x:c>
      <x:c r="N240" s="23" t="str">
        <x:v>vote 변경</x:v>
      </x:c>
    </x:row>
    <x:row r="241" ht="60" customHeight="1">
      <x:c r="A241" s="23" t="n">
        <x:v>2057</x:v>
      </x:c>
      <x:c r="B241" s="23" t="str">
        <x:v>AAOI</x:v>
      </x:c>
      <x:c r="C241" s="53" t="n">
        <x:v>46229.584965277776</x:v>
      </x:c>
      <x:c r="D241" s="23" t="str">
        <x:v>StockSavvyShay</x:v>
      </x:c>
      <x:c r="E241" s="23" t="str">
        <x:v>bullish</x:v>
      </x:c>
      <x:c r="F241" s="34" t="n">
        <x:v>0.8</x:v>
      </x:c>
      <x:c r="G241" s="23" t="str">
        <x:v>auto</x:v>
      </x:c>
      <x:c r="H241" s="23"/>
      <x:c r="I241" s="23"/>
      <x:c r="J241" s="23" t="str">
        <x:v>thesis</x:v>
      </x:c>
      <x:c r="K241" s="50" t="str">
        <x:v>광학 계층, 800G 트랜시버 생산</x:v>
      </x:c>
      <x:c r="L241" s="50" t="str">
        <x:v>10 WAYS TO INVEST IN THE AI DATA CENTER BUILDOUT
Data center demand is expected to nearly quadruple to 194 GW by 2035 as AI scales across more users, more tokens per user and more compute per token.
Here are some of my favorite names positioned to benefit:
1. $TSM foundry manufacturing the accelerators, custom chips &amp; networking silicon that nearly the entire AI buildout depends on.
2. $VRT liquid-cooling leader benefiting as rack density rises &amp; AI systems require increasingly advanced thermal management.
3. $NVDA &amp; $AMD accelerator duopoly at center of AI buildout with Nvidia's Vera Rubin entering full production &amp; AMD’s Helios rack-scale systems emerging as a credible second source.
4. $MU &amp; $SKHY memory engines of the AI era with HBM content scaling on every rack with data center margins above Nvidia's at segment level while suppliers themselves forecast shortage running into 2030.
5. $AVGO &amp; $MRVL custom-silicon backbone, designing accelerators, networking chips &amp; hyperscaler ASICs that capture more content across every AI rack.
6. $CRDO &amp; $ALAB high-speed connectivity layer supplying the interconnect that lashes thousands of accelerators into one fabric
7. $OKLO &amp; $SMR next-gen nuclear frontier with Oklo building the "local power plant" targeting microreactors beside data center campuses &amp; NuScale developing larger modular reactors for utility-scale power.
8. $BE, $CEG &amp; $VST provide power behind the AI buildout with Bloom delivering onsite fuel cells that bypass grid delays while Constellation &amp; Vistra supply large-scale nuclear, gas &amp; storage capacity to hyperscalers.
9. $LITE, $COHR &amp; $AAOI optical layer benefiting from the transition from 800G to 1.6T with Lumentum &amp; Coherent as components suppliers Nvidia took equity stakes in to secure next-generation optics capacity while AAOI is ramping U.S.-based 800G transceiver production for hyperscalers.
10. $ASML, $AMAT, $LRCX &amp; $KLAC form equipment layer behind every new fab &amp; packaging line with ASML’s EUV monopoly as ultimate chokepoint &amp; Applied Materials, Lam &amp; KLA supplying the deposition, etch &amp; inspection tools required for every capacity expansion.</x:v>
      </x:c>
      <x:c r="M241" s="65" t="str">
        <x:v>https://x.com/StockSavvyShay/status/2081379601545351630</x:v>
      </x:c>
      <x:c r="N241" s="23" t="str">
        <x:v>vote 변경</x:v>
      </x:c>
    </x:row>
    <x:row r="242" ht="60" customHeight="1">
      <x:c r="A242" s="23" t="n">
        <x:v>2062</x:v>
      </x:c>
      <x:c r="B242" s="23" t="str">
        <x:v>NVDA</x:v>
      </x:c>
      <x:c r="C242" s="53" t="n">
        <x:v>46229.59951388889</x:v>
      </x:c>
      <x:c r="D242" s="23" t="str">
        <x:v>StockSavvyShay</x:v>
      </x:c>
      <x:c r="E242" s="23" t="str">
        <x:v>bullish</x:v>
      </x:c>
      <x:c r="F242" s="34" t="n">
        <x:v>0.9</x:v>
      </x:c>
      <x:c r="G242" s="23" t="str">
        <x:v>auto</x:v>
      </x:c>
      <x:c r="H242" s="23"/>
      <x:c r="I242" s="23" t="str">
        <x:v>first_mention</x:v>
      </x:c>
      <x:c r="J242" s="23" t="str">
        <x:v>valuation</x:v>
      </x:c>
      <x:c r="K242" s="50" t="str">
        <x:v>엔비디아 주가는 AI 거품 붕괴가 없다면 100달러 아래로 떨어지지 않을 것이며, 현재 증거는 거품 붕괴 가능성이 낮음을 시사함.</x:v>
      </x:c>
      <x:c r="L242" s="50" t="str">
        <x:v>@FuturumEquities The only way $NVDA breaks below $100 is if AI bubble bursts within the next 12 months and the overwhelming evidence still points the other way.</x:v>
      </x:c>
      <x:c r="M242" s="65" t="str">
        <x:v>https://x.com/StockSavvyShay/status/2081384873823179074</x:v>
      </x:c>
      <x:c r="N242" s="23" t="str">
        <x:v>vote 변경</x:v>
      </x:c>
    </x:row>
    <x:row r="243" ht="60" customHeight="1">
      <x:c r="A243" s="23" t="n">
        <x:v>2064</x:v>
      </x:c>
      <x:c r="B243" s="23" t="str">
        <x:v>NVDA</x:v>
      </x:c>
      <x:c r="C243" s="53" t="n">
        <x:v>46229.635567129626</x:v>
      </x:c>
      <x:c r="D243" s="23" t="str">
        <x:v>StockSavvyShay</x:v>
      </x:c>
      <x:c r="E243" s="23" t="str">
        <x:v>neutral</x:v>
      </x:c>
      <x:c r="F243" s="34" t="n">
        <x:v>0.8</x:v>
      </x:c>
      <x:c r="G243" s="23" t="str">
        <x:v>auto</x:v>
      </x:c>
      <x:c r="H243" s="23"/>
      <x:c r="I243" s="23" t="str">
        <x:v>first_mention</x:v>
      </x:c>
      <x:c r="J243" s="23" t="str">
        <x:v>other</x:v>
      </x:c>
      <x:c r="K243" s="50" t="str">
        <x:v>IREN의 비디오에서 NVDA DGX 랙이 사용됨을 보여줌.</x:v>
      </x:c>
      <x:c r="L243" s="50" t="str">
        <x:v>$IREN releases “What Will You Build Next?” showcasing the infrastructure behind AI agents and applications.
The video highlights $NVDA DGX racks across its North American, European and Australian footprint. https://t.co/YKIdlEkyJb</x:v>
      </x:c>
      <x:c r="M243" s="65" t="str">
        <x:v>https://x.com/StockSavvyShay/status/2081397939214414059</x:v>
      </x:c>
      <x:c r="N243" s="23" t="str">
        <x:v>근거만</x:v>
      </x:c>
    </x:row>
    <x:row r="244" ht="60" customHeight="1">
      <x:c r="A244" s="23" t="n">
        <x:v>2071</x:v>
      </x:c>
      <x:c r="B244" s="23" t="str">
        <x:v>LITE</x:v>
      </x:c>
      <x:c r="C244" s="53" t="n">
        <x:v>46229.6697337963</x:v>
      </x:c>
      <x:c r="D244" s="23" t="str">
        <x:v>StockSavvyShay</x:v>
      </x:c>
      <x:c r="E244" s="23" t="str">
        <x:v>bullish</x:v>
      </x:c>
      <x:c r="F244" s="34" t="n">
        <x:v>0.8</x:v>
      </x:c>
      <x:c r="G244" s="23" t="str">
        <x:v>auto</x:v>
      </x:c>
      <x:c r="H244" s="23"/>
      <x:c r="I244" s="23" t="str">
        <x:v>first_mention</x:v>
      </x:c>
      <x:c r="J244" s="23" t="str">
        <x:v>growth</x:v>
      </x:c>
      <x:c r="K244" s="50" t="str">
        <x:v>향후 3년간 매출이 25억 달러에서 90억 달러로 빠르게 성장할 것</x:v>
      </x:c>
      <x:c r="L244" s="50" t="str">
        <x:v>Here are some of the fastest-growing revenue ramps across the AI buildout over the next 3 years:
• $MU ~$90B → $260B
• $AVGO ~$75B → $230B
• $AMD ~$40B → $110B
• $CRWV ~$6B → $40B
• $NBIS ~$900M → $22B
• $BE ~$2.5B → $10B
• $LITE ~$2.5B → $9B
• $IREN ~$725M → $6B
• $AAOI ~$500M → $3B
• $CIFR ~$230M → $1.2B</x:v>
      </x:c>
      <x:c r="M244" s="65" t="str">
        <x:v>https://x.com/StockSavvyShay/status/2081410317184352377</x:v>
      </x:c>
      <x:c r="N244" s="23" t="str">
        <x:v>vote 변경</x:v>
      </x:c>
    </x:row>
    <x:row r="245" ht="60" customHeight="1">
      <x:c r="A245" s="23" t="n">
        <x:v>2073</x:v>
      </x:c>
      <x:c r="B245" s="23" t="str">
        <x:v>AAOI</x:v>
      </x:c>
      <x:c r="C245" s="53" t="n">
        <x:v>46229.6697337963</x:v>
      </x:c>
      <x:c r="D245" s="23" t="str">
        <x:v>StockSavvyShay</x:v>
      </x:c>
      <x:c r="E245" s="23" t="str">
        <x:v>bullish</x:v>
      </x:c>
      <x:c r="F245" s="34" t="n">
        <x:v>0.8</x:v>
      </x:c>
      <x:c r="G245" s="23" t="str">
        <x:v>auto</x:v>
      </x:c>
      <x:c r="H245" s="23"/>
      <x:c r="I245" s="23" t="str">
        <x:v>first_mention</x:v>
      </x:c>
      <x:c r="J245" s="23" t="str">
        <x:v>growth</x:v>
      </x:c>
      <x:c r="K245" s="50" t="str">
        <x:v>향후 3년간 매출이 5억 달러에서 30억 달러로 빠르게 성장할 것</x:v>
      </x:c>
      <x:c r="L245" s="50" t="str">
        <x:v>Here are some of the fastest-growing revenue ramps across the AI buildout over the next 3 years:
• $MU ~$90B → $260B
• $AVGO ~$75B → $230B
• $AMD ~$40B → $110B
• $CRWV ~$6B → $40B
• $NBIS ~$900M → $22B
• $BE ~$2.5B → $10B
• $LITE ~$2.5B → $9B
• $IREN ~$725M → $6B
• $AAOI ~$500M → $3B
• $CIFR ~$230M → $1.2B</x:v>
      </x:c>
      <x:c r="M245" s="65" t="str">
        <x:v>https://x.com/StockSavvyShay/status/2081410317184352377</x:v>
      </x:c>
      <x:c r="N245" s="23" t="str">
        <x:v>vote 변경</x:v>
      </x:c>
    </x:row>
    <x:row r="246" ht="60" customHeight="1">
      <x:c r="A246" s="23" t="n">
        <x:v>2076</x:v>
      </x:c>
      <x:c r="B246" s="23" t="str">
        <x:v>NVDA</x:v>
      </x:c>
      <x:c r="C246" s="53" t="n">
        <x:v>46229.69420138889</x:v>
      </x:c>
      <x:c r="D246" s="23" t="str">
        <x:v>Beth_Kindig</x:v>
      </x:c>
      <x:c r="E246" s="23" t="str">
        <x:v>bullish</x:v>
      </x:c>
      <x:c r="F246" s="34" t="n">
        <x:v>0.8</x:v>
      </x:c>
      <x:c r="G246" s="23" t="str">
        <x:v>auto</x:v>
      </x:c>
      <x:c r="H246" s="23"/>
      <x:c r="I246" s="23" t="str">
        <x:v>first_mention</x:v>
      </x:c>
      <x:c r="J246" s="23" t="str">
        <x:v>growth</x:v>
      </x:c>
      <x:c r="K246" s="50" t="str">
        <x:v>엔비디아의 생산 능력 확장이 긍정적 신호</x:v>
      </x:c>
      <x:c r="L246" s="50" t="str">
        <x:v>Nvidia supplier Wistron opened its $700 million factory in Texas, producing Nvidia’s GB300 systems as well as its upcoming Vera Rubin racks. 
Nvidia says the plant is scaling to produce “tens of thousands of boards per month.” 
$NVDA $AMD $AVGO</x:v>
      </x:c>
      <x:c r="M246" s="65" t="str">
        <x:v>https://x.com/Beth_Kindig/status/2081419186786406894</x:v>
      </x:c>
      <x:c r="N246" s="23" t="str">
        <x:v>vote 변경</x:v>
      </x:c>
    </x:row>
    <x:row r="247" ht="60" customHeight="1">
      <x:c r="A247" s="23" t="n">
        <x:v>2082</x:v>
      </x:c>
      <x:c r="B247" s="23" t="str">
        <x:v>NVDA</x:v>
      </x:c>
      <x:c r="C247" s="53" t="n">
        <x:v>46229.84179398148</x:v>
      </x:c>
      <x:c r="D247" s="23" t="str">
        <x:v>aleabitoreddit</x:v>
      </x:c>
      <x:c r="E247" s="23" t="str">
        <x:v>bullish</x:v>
      </x:c>
      <x:c r="F247" s="34" t="n">
        <x:v>0.7</x:v>
      </x:c>
      <x:c r="G247" s="23" t="str">
        <x:v>needs_review</x:v>
      </x:c>
      <x:c r="H247" s="23" t="str">
        <x:v>stance</x:v>
      </x:c>
      <x:c r="I247" s="23" t="str">
        <x:v>first_mention</x:v>
      </x:c>
      <x:c r="J247" s="23" t="str">
        <x:v>growth</x:v>
      </x:c>
      <x:c r="K247" s="50" t="str">
        <x:v>SK그룹과 5000억 달러 이상의 AI 데이터센터 및 HBM4 메모리 파트너십 체결</x:v>
      </x:c>
      <x:c r="L247" s="50" t="str">
        <x:v>Just some TLDR news:
- $CXMT IPO tomorrow if you like Chinese memory. 
- Samsung Electronics reportedly struggling to secure large FC-BGA substrates. Ibiden (4062) reportedly requested LTA guarantees, Samsung Electro-Mechanics sought prepayments. 
- Samsung + $AVGO sign memory + foundry AI framework through 2030, expected to exceed $200b
- $SOI expects FY2027 silicon photonics revenue to double compared to the previous year, surpassing Morgan Stanley's 60% growth projection. Photonics thesis go brrr. 
- SK Group + $NVDA sign $500B+ partnership to build out AI DCs and HBM4 memory. 
- SKC Absolics glass core delay to 2027 from reports. Targeting final reliability testing EOY, mass production next year. So if you're curious, this does push back some ramps from $LPK and others (hence drop on ER). 
- $QCOM price hikes by double digits for smartphone processors, due to upstream supplier hike pricing.
- $META expected to issue $12B in project-level/SPV financing for El Paso, Texas AI DC expansion 
- Naver announced a $10 billion investment from $NVDA and Brookfield to construct a 1GW-scale AI Factory. Near term plan is 200MW by 2028. (Nvidia $1B investment, Brookfield nonbinding $9B)
- 64GB DDR5 server modules rises 146% versus end-June contract pricing
- $INTC brought forward 14A process mass production  by a year, risk production H2 2027 and volume production in 2028, vs. 2029 HVM expectations. 
- Samsung Electro-Mechanics wins $200m MLCC order (existing bottleneck).  
- $AMD (the Bandana bottleneck), announces Helios is in full production with shipments Q3 2026. Including an up to 2GW MI455X GPU deployment with Anthropic and a 6GW infrastructure rollout with OpenAI. Gave new &gt;50% CAGR TAM to $220B by 2030 from $26b in 2025 for CPU market. 
Rolls out optical interconnects for Mi500 in 2027. From channel checks, AMD is heading down to the CPO route (seems likely to use Ayar).  
- $ORCL wins $7B Department of War enterprise software contract
- JX metal doubles semi target capacity at its KR subsidary with a 4B yen investment, with operations to begin H2 2027, amid surging demand from major customers Samsung Electronics and SK Hynix
- Tungsten hexafluoride spot prices surged 2.1-2.5x Y/Y following Japan's Kanto Denka and Chuo Gas announcing permanent production halts. Fluorinated liquid supply faces a vacuum as 3M plans to exit PFAS production. 
- From the four optical chipmaker earnings, Yuanjie/Eoptolink/TFC Optical/Dongshan Precision: no major order cuts, 1.6T shipments expected to accelerate into 2027. Optical chip suppliers expected to capture outsized margins from shortages. 
- Unitree Robotics Targets 30,000 Humanoid Robot Production Capacity by 2026. Read through on humanoid TAM scaling like $CCXI and others. 
- Energy storage lithium batteries orders increase first half orders by 2,900% apparently in China. Not as familiar with EVE Energy and other battery makers.</x:v>
      </x:c>
      <x:c r="M247" s="65" t="str">
        <x:v>https://x.com/aleabitoreddit/status/2081472671129501729</x:v>
      </x:c>
      <x:c r="N247" s="23" t="str">
        <x:v>제외</x:v>
      </x:c>
    </x:row>
    <x:row r="248" ht="60" customHeight="1">
      <x:c r="A248" s="23" t="n">
        <x:v>2093</x:v>
      </x:c>
      <x:c r="B248" s="23" t="str">
        <x:v>NVDA</x:v>
      </x:c>
      <x:c r="C248" s="53" t="n">
        <x:v>46229.909097222226</x:v>
      </x:c>
      <x:c r="D248" s="23" t="str">
        <x:v>Beth_Kindig</x:v>
      </x:c>
      <x:c r="E248" s="23" t="str">
        <x:v>bullish</x:v>
      </x:c>
      <x:c r="F248" s="34" t="n">
        <x:v>0.7</x:v>
      </x:c>
      <x:c r="G248" s="23" t="str">
        <x:v>needs_review</x:v>
      </x:c>
      <x:c r="H248" s="23" t="str">
        <x:v>stance</x:v>
      </x:c>
      <x:c r="I248" s="23" t="str">
        <x:v>first_mention</x:v>
      </x:c>
      <x:c r="J248" s="23" t="str">
        <x:v>catalyst</x:v>
      </x:c>
      <x:c r="K248" s="50" t="str">
        <x:v>OpenAI의 대규모 데이터센터 투자는 NVDA의 GPU 수요 증가로 이어질 가능성이 높음.</x:v>
      </x:c>
      <x:c r="L248" s="50" t="str">
        <x:v>OpenAI is said to be spending more than $30 billion on a 3.2GW data center in Georgia, with several hundred MW coming online in 2028 and scaling through 2032. 
$MSFT $AMZN $GOOG $NVDA</x:v>
      </x:c>
      <x:c r="M248" s="65" t="str">
        <x:v>https://x.com/Beth_Kindig/status/2081497059958419763</x:v>
      </x:c>
      <x:c r="N248" s="23" t="str">
        <x:v>제외</x:v>
      </x:c>
    </x:row>
    <x:row r="249" ht="60" customHeight="1">
      <x:c r="A249" s="23" t="n">
        <x:v>2094</x:v>
      </x:c>
      <x:c r="B249" s="23" t="str">
        <x:v>NVDA</x:v>
      </x:c>
      <x:c r="C249" s="53" t="n">
        <x:v>46229.931446759256</x:v>
      </x:c>
      <x:c r="D249" s="23" t="str">
        <x:v>Beth_Kindig</x:v>
      </x:c>
      <x:c r="E249" s="23" t="str">
        <x:v>bullish</x:v>
      </x:c>
      <x:c r="F249" s="34" t="n">
        <x:v>0.8</x:v>
      </x:c>
      <x:c r="G249" s="23" t="str">
        <x:v>auto</x:v>
      </x:c>
      <x:c r="H249" s="23"/>
      <x:c r="I249" s="23" t="str">
        <x:v>first_mention</x:v>
      </x:c>
      <x:c r="J249" s="23" t="str">
        <x:v>growth</x:v>
      </x:c>
      <x:c r="K249" s="50" t="str">
        <x:v>Nvidia가 Amkor와의 계약을 통해 미국 내 패키징 역량을 확장하여 공급망을 강화하고 성장을 지원합니다.</x:v>
      </x:c>
      <x:c r="L249" s="50" t="str">
        <x:v>Nvidia signed a multi-year deal with Amkor worth $1.5 billion to expand advanced chip packaging and test capacity in the US, with Nvidia making a prepayment to support the expansion. 
$NVDA $AMKR $TSM</x:v>
      </x:c>
      <x:c r="M249" s="65" t="str">
        <x:v>https://x.com/Beth_Kindig/status/2081505160551907472</x:v>
      </x:c>
      <x:c r="N249" s="23" t="str">
        <x:v>vote 변경</x:v>
      </x:c>
    </x:row>
    <x:row r="250" ht="60" customHeight="1">
      <x:c r="A250" s="23" t="n">
        <x:v>2097</x:v>
      </x:c>
      <x:c r="B250" s="23" t="str">
        <x:v>NVDA</x:v>
      </x:c>
      <x:c r="C250" s="53" t="n">
        <x:v>46229.976481481484</x:v>
      </x:c>
      <x:c r="D250" s="23" t="str">
        <x:v>StockSavvyShay</x:v>
      </x:c>
      <x:c r="E250" s="23" t="str">
        <x:v>neutral</x:v>
      </x:c>
      <x:c r="F250" s="34" t="n">
        <x:v>0.8</x:v>
      </x:c>
      <x:c r="G250" s="23" t="str">
        <x:v>auto</x:v>
      </x:c>
      <x:c r="H250" s="23"/>
      <x:c r="I250" s="23" t="str">
        <x:v>first_mention</x:v>
      </x:c>
      <x:c r="J250" s="23" t="str">
        <x:v>other</x:v>
      </x:c>
      <x:c r="K250" s="50" t="str">
        <x:v>NVDA가 OpenAI의 데이터센터 프로젝트에 재정 지원을 제공할 가능성</x:v>
      </x:c>
      <x:c r="L250" s="50" t="str">
        <x:v>$NVDA is reportedly in talks to provide a $250B financial backstop for OpenAI’s planned Ohio data center.
The SoftBank-backed project could cost ~$500B and become the largest data center in the U.S. https://t.co/DzJZGNPsG1</x:v>
      </x:c>
      <x:c r="M250" s="65" t="str">
        <x:v>https://x.com/StockSavvyShay/status/2081521479896985909</x:v>
      </x:c>
      <x:c r="N250" s="23" t="str">
        <x:v>근거만</x:v>
      </x:c>
    </x:row>
    <x:row r="251" ht="60" customHeight="1">
      <x:c r="A251" s="23" t="n">
        <x:v>2098</x:v>
      </x:c>
      <x:c r="B251" s="23" t="str">
        <x:v>NVDA</x:v>
      </x:c>
      <x:c r="C251" s="53" t="n">
        <x:v>46230.02074074074</x:v>
      </x:c>
      <x:c r="D251" s="23" t="str">
        <x:v>Beth_Kindig</x:v>
      </x:c>
      <x:c r="E251" s="23" t="str">
        <x:v>bearish</x:v>
      </x:c>
      <x:c r="F251" s="34" t="n">
        <x:v>0.8</x:v>
      </x:c>
      <x:c r="G251" s="23" t="str">
        <x:v>auto</x:v>
      </x:c>
      <x:c r="H251" s="23"/>
      <x:c r="I251" s="23" t="str">
        <x:v>stance_change</x:v>
      </x:c>
      <x:c r="J251" s="23" t="str">
        <x:v>positioning</x:v>
      </x:c>
      <x:c r="K251" s="50" t="str">
        <x:v>NVDA는 AI의 가장 안전한 선택이지만, 기회비용이 발생하여 2026년의 큰 승자를 놓칠 수 있다.</x:v>
      </x:c>
      <x:c r="L251" s="50" t="str">
        <x:v>Owning AI’s safest choices like $NVDA or $GOOG comes with opportunity cost, as 2026’s largest winners came from deeper in the AI stack. 
My new Q3 Top 20 AI Stock report released this week maps out the many lesser-known beneficiaries - subscribe below to access the 90-page report.</x:v>
      </x:c>
      <x:c r="M251" s="65" t="str">
        <x:v>https://x.com/Beth_Kindig/status/2081537518919369117</x:v>
      </x:c>
      <x:c r="N251" s="23" t="str">
        <x:v>vote 변경</x:v>
      </x:c>
    </x:row>
    <x:row r="252" ht="60" customHeight="1">
      <x:c r="A252" s="23" t="n">
        <x:v>2100</x:v>
      </x:c>
      <x:c r="B252" s="23" t="str">
        <x:v>NVDA</x:v>
      </x:c>
      <x:c r="C252" s="53" t="n">
        <x:v>46230.04150462963</x:v>
      </x:c>
      <x:c r="D252" s="23" t="str">
        <x:v>StockSavvyShay</x:v>
      </x:c>
      <x:c r="E252" s="23" t="str">
        <x:v>neutral</x:v>
      </x:c>
      <x:c r="F252" s="34" t="n">
        <x:v>0</x:v>
      </x:c>
      <x:c r="G252" s="23" t="str">
        <x:v>needs_review</x:v>
      </x:c>
      <x:c r="H252" s="23" t="str">
        <x:v>stance</x:v>
      </x:c>
      <x:c r="I252" s="23" t="str">
        <x:v>first_mention</x:v>
      </x:c>
      <x:c r="J252" s="23" t="str">
        <x:v>other</x:v>
      </x:c>
      <x:c r="K252" s="50" t="str">
        <x:v>첫 미국산 GB300 AI 칩 생산 소식</x:v>
      </x:c>
      <x:c r="L252" s="50" t="str">
        <x:v>$NVDA first U.S.-made GB300 AI chips roll off the production line at $TSM Arizona fab.
CoWoS advanced packaging is expected to be the final step toward fully domestic production of the Grace Blackwell Ultra platform. https://t.co/JvDJNKWq0S</x:v>
      </x:c>
      <x:c r="M252" s="65" t="str">
        <x:v>https://x.com/StockSavvyShay/status/2081545042888642853</x:v>
      </x:c>
      <x:c r="N252" s="23" t="str">
        <x:v>제외</x:v>
      </x:c>
    </x:row>
    <x:row r="253" ht="60" customHeight="1">
      <x:c r="A253" s="23" t="n">
        <x:v>2103</x:v>
      </x:c>
      <x:c r="B253" s="23" t="str">
        <x:v>NVDA</x:v>
      </x:c>
      <x:c r="C253" s="53" t="n">
        <x:v>46230.05065972222</x:v>
      </x:c>
      <x:c r="D253" s="23" t="str">
        <x:v>aleabitoreddit</x:v>
      </x:c>
      <x:c r="E253" s="23" t="str">
        <x:v>bullish</x:v>
      </x:c>
      <x:c r="F253" s="34" t="n">
        <x:v>0.8</x:v>
      </x:c>
      <x:c r="G253" s="23" t="str">
        <x:v>auto</x:v>
      </x:c>
      <x:c r="H253" s="23"/>
      <x:c r="I253" s="23" t="str">
        <x:v>first_mention</x:v>
      </x:c>
      <x:c r="J253" s="23" t="str">
        <x:v>growth</x:v>
      </x:c>
      <x:c r="K253" s="50" t="str">
        <x:v>AI 인프라 지출의 수혜를 볼 것</x:v>
      </x:c>
      <x:c r="L253" s="50" t="str">
        <x:v>Nvidia in talks to backstop $250B worth of OpenAI DC financing.
- Softbank’s SB energy develops 10 GW Ohio campus 
- OpenAI signs long term lease
- $NVDA guarantees $250B in financing
- OpenAI discussing separate agreement to buy up to $350B in Nvidia chips.
Not quite sure if this circular financing is healthy long term, but given the massive size of AI infrastructure spending…
Feels like capex beneficiaries will be extremely happy.</x:v>
      </x:c>
      <x:c r="M253" s="65" t="str">
        <x:v>https://x.com/aleabitoreddit/status/2081548360818004299</x:v>
      </x:c>
      <x:c r="N253" s="23" t="str">
        <x:v>vote 변경</x:v>
      </x:c>
    </x:row>
    <x:row r="254" ht="60" customHeight="1">
      <x:c r="A254" s="23" t="n">
        <x:v>2111</x:v>
      </x:c>
      <x:c r="B254" s="23" t="str">
        <x:v>NVDA</x:v>
      </x:c>
      <x:c r="C254" s="53" t="n">
        <x:v>46230.391689814816</x:v>
      </x:c>
      <x:c r="D254" s="23" t="str">
        <x:v>StockSavvyShay</x:v>
      </x:c>
      <x:c r="E254" s="23" t="str">
        <x:v>neutral</x:v>
      </x:c>
      <x:c r="F254" s="34" t="n">
        <x:v>0.8</x:v>
      </x:c>
      <x:c r="G254" s="23" t="str">
        <x:v>auto</x:v>
      </x:c>
      <x:c r="H254" s="23"/>
      <x:c r="I254" s="23" t="str">
        <x:v>first_mention</x:v>
      </x:c>
      <x:c r="J254" s="23" t="str">
        <x:v>catalyst</x:v>
      </x:c>
      <x:c r="K254" s="50" t="str">
        <x:v>NVDA가 Open Secure AI Alliance를 주도하여 AI 및 사이버보안 분야에서 협력 네트워크를 확장</x:v>
      </x:c>
      <x:c r="L254" s="50" t="str">
        <x:v>$NVDA has launched the Open Secure AI Alliance with $PLTR, $SPCX, $CRWD, $PANW, $NET, $SKHY, $IBM and dozens of other tech leaders.
The group will share open-source AI and cybersecurity tools while advocating for safeguards instead of broad restrictions. https://t.co/hsGaYuZNdC</x:v>
      </x:c>
      <x:c r="M254" s="65" t="str">
        <x:v>https://x.com/StockSavvyShay/status/2081671946547401001</x:v>
      </x:c>
      <x:c r="N254" s="23" t="str">
        <x:v>근거만</x:v>
      </x:c>
    </x:row>
    <x:row r="255" ht="60" customHeight="1">
      <x:c r="A255" s="23" t="n">
        <x:v>2120</x:v>
      </x:c>
      <x:c r="B255" s="23" t="str">
        <x:v>NVDA</x:v>
      </x:c>
      <x:c r="C255" s="53" t="n">
        <x:v>46230.48133101852</x:v>
      </x:c>
      <x:c r="D255" s="23" t="str">
        <x:v>StockSavvyShay</x:v>
      </x:c>
      <x:c r="E255" s="23" t="str">
        <x:v>neutral</x:v>
      </x:c>
      <x:c r="F255" s="34" t="n">
        <x:v>0</x:v>
      </x:c>
      <x:c r="G255" s="23" t="str">
        <x:v>needs_review</x:v>
      </x:c>
      <x:c r="H255" s="23" t="str">
        <x:v>stance</x:v>
      </x:c>
      <x:c r="I255" s="23"/>
      <x:c r="J255" s="23" t="str">
        <x:v>other</x:v>
      </x:c>
      <x:c r="K255" s="50" t="str">
        <x:v>CEO가 AI 보안을 위해 오픈 생태계의 중요성을 강조했으나, 이는 NVDA 주식에 대한 직접적인 투자 의견이 아님.</x:v>
      </x:c>
      <x:c r="L255" s="50" t="str">
        <x:v>$NVDA CEO Jensen Huang just said “Attackers have frontier AI. Defenders need a frontier AI ecosystem.”
He says an open-weight model helped contain the Hugging Face breach when closed models blocked key forensic work reinforcing the case for the Open Secure AI Alliance. https://t.co/h0feiSkg5Y</x:v>
      </x:c>
      <x:c r="M255" s="65" t="str">
        <x:v>https://x.com/StockSavvyShay/status/2081704432325312837</x:v>
      </x:c>
      <x:c r="N255" s="23" t="str">
        <x:v>제외</x:v>
      </x:c>
    </x:row>
    <x:row r="256" ht="60" customHeight="1">
      <x:c r="A256" s="23" t="n">
        <x:v>2139</x:v>
      </x:c>
      <x:c r="B256" s="23" t="str">
        <x:v>NVDA</x:v>
      </x:c>
      <x:c r="C256" s="53" t="n">
        <x:v>46230.4925</x:v>
      </x:c>
      <x:c r="D256" s="23" t="str">
        <x:v>StockMKTNewz</x:v>
      </x:c>
      <x:c r="E256" s="23" t="str">
        <x:v>neutral</x:v>
      </x:c>
      <x:c r="F256" s="34" t="n">
        <x:v>0.8</x:v>
      </x:c>
      <x:c r="G256" s="23" t="str">
        <x:v>auto</x:v>
      </x:c>
      <x:c r="H256" s="23"/>
      <x:c r="I256" s="23" t="str">
        <x:v>first_mention</x:v>
      </x:c>
      <x:c r="J256" s="23" t="str">
        <x:v>other</x:v>
      </x:c>
      <x:c r="K256" s="50"/>
      <x:c r="L256" s="50" t="str">
        <x:v>Nvidia $NVDA just announced a new 
"Open Secure AI Alliance with industry leaders to develop new techniques and tools to safeguard software and agents."
Nvidia CEO Jensen Huang just said:
"Attackers have frontier AI. Defenders need a frontier AI ecosystem" https://t.co/9lugI88Nmj</x:v>
      </x:c>
      <x:c r="M256" s="65" t="str">
        <x:v>https://x.com/StockMKTNewz/status/2081708477861265770</x:v>
      </x:c>
      <x:c r="N256" s="23" t="str">
        <x:v>근거만</x:v>
      </x:c>
    </x:row>
    <x:row r="257" ht="60" customHeight="1">
      <x:c r="A257" s="23" t="n">
        <x:v>2143</x:v>
      </x:c>
      <x:c r="B257" s="23" t="str">
        <x:v>NVDA</x:v>
      </x:c>
      <x:c r="C257" s="53" t="n">
        <x:v>46230.54324074074</x:v>
      </x:c>
      <x:c r="D257" s="23" t="str">
        <x:v>StockMKTNewz</x:v>
      </x:c>
      <x:c r="E257" s="23" t="str">
        <x:v>bullish</x:v>
      </x:c>
      <x:c r="F257" s="34" t="n">
        <x:v>0.8</x:v>
      </x:c>
      <x:c r="G257" s="23" t="str">
        <x:v>auto</x:v>
      </x:c>
      <x:c r="H257" s="23"/>
      <x:c r="I257" s="23" t="str">
        <x:v>first_mention</x:v>
      </x:c>
      <x:c r="J257" s="23" t="str">
        <x:v>catalyst</x:v>
      </x:c>
      <x:c r="K257" s="50" t="str">
        <x:v>엔비디아의 SSI 투자 및 파트너십은 AI 분야에서의 입지를 강화하고 차세대 Vera Rubin 플랫폼의 활용을 확대할 긍정적 신호</x:v>
      </x:c>
      <x:c r="L257" s="50" t="str">
        <x:v>NVIDIA JUST INVESTED IN ILYA SUTSKEVER'S SAFE SUPERINTELLIGENCE
Safe Superintelligence Inc. (SSI) and Nvidia $NVDA just announced a long-term partnership, with NVIDIA also making a direct investment in the company.
The deal gives SSI access to NVIDIA's next-generation Vera Rubin platform
The two will also collaborate on advancing NVIDIA's current and future compute platforms, drawing on SSI's own research.
NVIDIA CEO Jensen Huang: "Ilya has pioneered fundamental breakthroughs at the foundation of modern AI, beginning with AlexNet."
SSI cofounder and CEO Ilya Sutskever: "We have research that is worthy of scaling up, and having access to a big NVIDIA computer will let us do so."</x:v>
      </x:c>
      <x:c r="M257" s="65" t="str">
        <x:v>https://x.com/StockMKTNewz/status/2081726866646290640</x:v>
      </x:c>
      <x:c r="N257" s="23" t="str">
        <x:v>vote 변경</x:v>
      </x:c>
    </x:row>
    <x:row r="258" ht="60" customHeight="1">
      <x:c r="A258" s="23" t="n">
        <x:v>2128</x:v>
      </x:c>
      <x:c r="B258" s="23" t="str">
        <x:v>NVDA</x:v>
      </x:c>
      <x:c r="C258" s="53" t="n">
        <x:v>46230.54699074074</x:v>
      </x:c>
      <x:c r="D258" s="23" t="str">
        <x:v>StockSavvyShay</x:v>
      </x:c>
      <x:c r="E258" s="23" t="str">
        <x:v>neutral</x:v>
      </x:c>
      <x:c r="F258" s="34" t="n">
        <x:v>0</x:v>
      </x:c>
      <x:c r="G258" s="23" t="str">
        <x:v>needs_review</x:v>
      </x:c>
      <x:c r="H258" s="23" t="str">
        <x:v>stance</x:v>
      </x:c>
      <x:c r="I258" s="23" t="str">
        <x:v>first_mention</x:v>
      </x:c>
      <x:c r="J258" s="23" t="str">
        <x:v>other</x:v>
      </x:c>
      <x:c r="K258" s="50" t="str">
        <x:v>NVDA가 SSI에 투자하고 Vera Rubin 접근권을 제공하며 협력함</x:v>
      </x:c>
      <x:c r="L258" s="50" t="str">
        <x:v>$NVDA invests in Safe Superintelligence founded by OpenAI co-founder and former chief scientist Ilya Sutskever and gives SSI access to Vera Rubin.
Sutskever says SSI has research “worthy of scaling up” as the companies collaborate on future NVIDIA compute platforms. https://t.co/xsOScFeAa9</x:v>
      </x:c>
      <x:c r="M258" s="65" t="str">
        <x:v>https://x.com/StockSavvyShay/status/2081728226922242251</x:v>
      </x:c>
      <x:c r="N258" s="23" t="str">
        <x:v>제외</x:v>
      </x:c>
    </x:row>
    <x:row r="259" ht="60" customHeight="1">
      <x:c r="A259" s="23" t="n">
        <x:v>2147</x:v>
      </x:c>
      <x:c r="B259" s="23" t="str">
        <x:v>NVDA</x:v>
      </x:c>
      <x:c r="C259" s="53" t="n">
        <x:v>46230.5916087963</x:v>
      </x:c>
      <x:c r="D259" s="23" t="str">
        <x:v>StockMKTNewz</x:v>
      </x:c>
      <x:c r="E259" s="23" t="str">
        <x:v>neutral</x:v>
      </x:c>
      <x:c r="F259" s="34" t="n">
        <x:v>0</x:v>
      </x:c>
      <x:c r="G259" s="23" t="str">
        <x:v>needs_review</x:v>
      </x:c>
      <x:c r="H259" s="23" t="str">
        <x:v>stance</x:v>
      </x:c>
      <x:c r="I259" s="23"/>
      <x:c r="J259" s="23" t="str">
        <x:v>other</x:v>
      </x:c>
      <x:c r="K259" s="50"/>
      <x:c r="L259" s="50" t="str">
        <x:v>APPLE $AAPL IS BACK TO BEING THE LARGEST COMPANY IN THE WORLD
Apple currently has a market cap of $4.94T compared to Nvidia's $NVDA $4.9T https://t.co/HDRZRMBydl</x:v>
      </x:c>
      <x:c r="M259" s="65" t="str">
        <x:v>https://x.com/StockMKTNewz/status/2081744395989106832</x:v>
      </x:c>
      <x:c r="N259" s="23" t="str">
        <x:v>제외</x:v>
      </x:c>
    </x:row>
    <x:row r="260" ht="60" customHeight="1">
      <x:c r="A260" s="23" t="n">
        <x:v>2156</x:v>
      </x:c>
      <x:c r="B260" s="23" t="str">
        <x:v>NVDA</x:v>
      </x:c>
      <x:c r="C260" s="53" t="n">
        <x:v>46230.62740740741</x:v>
      </x:c>
      <x:c r="D260" s="23" t="str">
        <x:v>StockSavvyShay</x:v>
      </x:c>
      <x:c r="E260" s="23" t="str">
        <x:v>bearish</x:v>
      </x:c>
      <x:c r="F260" s="34" t="n">
        <x:v>0.8</x:v>
      </x:c>
      <x:c r="G260" s="23" t="str">
        <x:v>auto</x:v>
      </x:c>
      <x:c r="H260" s="23"/>
      <x:c r="I260" s="23" t="str">
        <x:v>first_mention</x:v>
      </x:c>
      <x:c r="J260" s="23" t="str">
        <x:v>technical</x:v>
      </x:c>
      <x:c r="K260" s="50" t="str">
        <x:v>NVDA가 200달러 아래로 하락했다.</x:v>
      </x:c>
      <x:c r="L260" s="50" t="str">
        <x:v>$NVDA JUST BROKE BELOW $200 https://t.co/j4iveU8FJ6</x:v>
      </x:c>
      <x:c r="M260" s="65" t="str">
        <x:v>https://x.com/StockSavvyShay/status/2081757367302234319</x:v>
      </x:c>
      <x:c r="N260" s="23" t="str">
        <x:v>vote 변경</x:v>
      </x:c>
    </x:row>
    <x:row r="261" ht="60" customHeight="1">
      <x:c r="A261" s="23" t="n">
        <x:v>2271</x:v>
      </x:c>
      <x:c r="B261" s="23" t="str">
        <x:v>NVDA</x:v>
      </x:c>
      <x:c r="C261" s="53" t="n">
        <x:v>46230.63486111111</x:v>
      </x:c>
      <x:c r="D261" s="23" t="str">
        <x:v>Brian_Stoffel_</x:v>
      </x:c>
      <x:c r="E261" s="23" t="str">
        <x:v>bearish</x:v>
      </x:c>
      <x:c r="F261" s="34" t="n">
        <x:v>0.7</x:v>
      </x:c>
      <x:c r="G261" s="23" t="str">
        <x:v>needs_review</x:v>
      </x:c>
      <x:c r="H261" s="23" t="str">
        <x:v>stance</x:v>
      </x:c>
      <x:c r="I261" s="23" t="str">
        <x:v>first_mention</x:v>
      </x:c>
      <x:c r="J261" s="23" t="str">
        <x:v>risk</x:v>
      </x:c>
      <x:c r="K261" s="50" t="str">
        <x:v>시장이 엔비디아의 OpenAI 자금 조달 제안을 거부하며 순환 자금 조달 위험을 나타냄</x:v>
      </x:c>
      <x:c r="L261" s="50" t="str">
        <x:v>In Stock Investing Mentor, we're covering the perils of circular financing this week.
So it's VERY timely that the market is *rejecting* $NVDA  potentially offering $250B in financing to OpenAI. 
This comes on top of a $500B deal with $SKHY 
The cost of insuring that debt jumped 20% (albeit off of a small base)</x:v>
      </x:c>
      <x:c r="M261" s="65" t="str">
        <x:v>https://x.com/Brian_Stoffel_/status/2081760067800510662</x:v>
      </x:c>
      <x:c r="N261" s="23" t="str">
        <x:v>제외</x:v>
      </x:c>
    </x:row>
    <x:row r="262" ht="60" customHeight="1">
      <x:c r="A262" s="23" t="n">
        <x:v>2174</x:v>
      </x:c>
      <x:c r="B262" s="23" t="str">
        <x:v>NVDA</x:v>
      </x:c>
      <x:c r="C262" s="53" t="n">
        <x:v>46230.69520833333</x:v>
      </x:c>
      <x:c r="D262" s="23" t="str">
        <x:v>StockSavvyShay</x:v>
      </x:c>
      <x:c r="E262" s="23" t="str">
        <x:v>bullish</x:v>
      </x:c>
      <x:c r="F262" s="34" t="n">
        <x:v>1</x:v>
      </x:c>
      <x:c r="G262" s="23" t="str">
        <x:v>auto</x:v>
      </x:c>
      <x:c r="H262" s="23"/>
      <x:c r="I262" s="23" t="str">
        <x:v>first_mention</x:v>
      </x:c>
      <x:c r="J262" s="23" t="str">
        <x:v>thesis</x:v>
      </x:c>
      <x:c r="K262" s="50" t="str">
        <x:v>NVDA는 AI 경제의 기반이 되고 있으며, 칩, 네트워킹, 소프트웨어가 주요 클라우드, 모델, 애플리케이션의 기반이 되어 수십 년간 산업과 함께 성장할 것</x:v>
      </x:c>
      <x:c r="L262" s="50" t="str">
        <x:v>$NVDA is becoming the foundation the AI economy will be built on.
Its chips, networking and software now sit beneath nearly every major cloud, model and application positioning the company to compound with the industry for decades. https://t.co/aM7A6nxpvc</x:v>
      </x:c>
      <x:c r="M262" s="65" t="str">
        <x:v>https://x.com/StockSavvyShay/status/2081781936868233356</x:v>
      </x:c>
      <x:c r="N262" s="23" t="str">
        <x:v>vote 변경</x:v>
      </x:c>
    </x:row>
    <x:row r="263" ht="60" customHeight="1">
      <x:c r="A263" s="23" t="n">
        <x:v>2177</x:v>
      </x:c>
      <x:c r="B263" s="23" t="str">
        <x:v>NVDA</x:v>
      </x:c>
      <x:c r="C263" s="53" t="n">
        <x:v>46230.74932870371</x:v>
      </x:c>
      <x:c r="D263" s="23" t="str">
        <x:v>StockSavvyShay</x:v>
      </x:c>
      <x:c r="E263" s="23" t="str">
        <x:v>neutral</x:v>
      </x:c>
      <x:c r="F263" s="34" t="n">
        <x:v>0</x:v>
      </x:c>
      <x:c r="G263" s="23" t="str">
        <x:v>needs_review</x:v>
      </x:c>
      <x:c r="H263" s="23" t="str">
        <x:v>stance</x:v>
      </x:c>
      <x:c r="I263" s="23"/>
      <x:c r="J263" s="23" t="str">
        <x:v>other</x:v>
      </x:c>
      <x:c r="K263" s="50" t="str">
        <x:v>엔비디아가 애플에게 세계에서 가장 가치 있는 기업 자리를 내주었다.</x:v>
      </x:c>
      <x:c r="L263" s="50" t="str">
        <x:v>$AAPL overtakes $NVDA as the world’s most valuable company. https://t.co/cqyZTLtU5Q</x:v>
      </x:c>
      <x:c r="M263" s="65" t="str">
        <x:v>https://x.com/StockSavvyShay/status/2081801553191845953</x:v>
      </x:c>
      <x:c r="N263" s="23" t="str">
        <x:v>제외</x:v>
      </x:c>
    </x:row>
    <x:row r="264" ht="60" customHeight="1">
      <x:c r="A264" s="23" t="n">
        <x:v>2178</x:v>
      </x:c>
      <x:c r="B264" s="23" t="str">
        <x:v>NVDA</x:v>
      </x:c>
      <x:c r="C264" s="53" t="n">
        <x:v>46230.758263888885</x:v>
      </x:c>
      <x:c r="D264" s="23" t="str">
        <x:v>StockSavvyShay</x:v>
      </x:c>
      <x:c r="E264" s="23" t="str">
        <x:v>bullish</x:v>
      </x:c>
      <x:c r="F264" s="34" t="n">
        <x:v>0.8</x:v>
      </x:c>
      <x:c r="G264" s="23" t="str">
        <x:v>auto</x:v>
      </x:c>
      <x:c r="H264" s="23"/>
      <x:c r="I264" s="23"/>
      <x:c r="J264" s="23" t="str">
        <x:v>positioning</x:v>
      </x:c>
      <x:c r="K264" s="50" t="str">
        <x:v>NVDA를 계속 보유하며 최근 하락을 터무니없다고 봄</x:v>
      </x:c>
      <x:c r="L264" s="50" t="str">
        <x:v>Jim Cramer says he still owns $NVDA and won’t trade it calling the recent selloff “absurd.” https://t.co/k7bF9nmhv1</x:v>
      </x:c>
      <x:c r="M264" s="65" t="str">
        <x:v>https://x.com/StockSavvyShay/status/2081804787851636996</x:v>
      </x:c>
      <x:c r="N264" s="23" t="str">
        <x:v>vote 변경</x:v>
      </x:c>
    </x:row>
    <x:row r="265" ht="60" customHeight="1">
      <x:c r="A265" s="23" t="n">
        <x:v>2183</x:v>
      </x:c>
      <x:c r="B265" s="23" t="str">
        <x:v>NVDA</x:v>
      </x:c>
      <x:c r="C265" s="53" t="n">
        <x:v>46230.83232638889</x:v>
      </x:c>
      <x:c r="D265" s="23" t="str">
        <x:v>Beth_Kindig</x:v>
      </x:c>
      <x:c r="E265" s="23" t="str">
        <x:v>neutral</x:v>
      </x:c>
      <x:c r="F265" s="34" t="n">
        <x:v>0.5</x:v>
      </x:c>
      <x:c r="G265" s="23" t="str">
        <x:v>needs_review</x:v>
      </x:c>
      <x:c r="H265" s="23" t="str">
        <x:v>stance</x:v>
      </x:c>
      <x:c r="I265" s="23"/>
      <x:c r="J265" s="23" t="str">
        <x:v>other</x:v>
      </x:c>
      <x:c r="K265" s="50"/>
      <x:c r="L265" s="50" t="str">
        <x:v>AMD’s $AMD new MI455X GPU offers 40 PFLOPs of FP4 and 20 PFLOPs of FP8 performance, double the MI350 series and nearly matching $NVDA Rubin’s 50 PFLOPs of FP4 and 17.5 PFLOPs of FP8 performance. 
$AVGO $INTC</x:v>
      </x:c>
      <x:c r="M265" s="65" t="str">
        <x:v>https://x.com/Beth_Kindig/status/2081831626690953339</x:v>
      </x:c>
      <x:c r="N265" s="23" t="str">
        <x:v>제외</x:v>
      </x:c>
    </x:row>
    <x:row r="266" ht="60" customHeight="1">
      <x:c r="A266" s="23" t="n">
        <x:v>2206</x:v>
      </x:c>
      <x:c r="B266" s="23" t="str">
        <x:v>ASTS</x:v>
      </x:c>
      <x:c r="C266" s="53" t="n">
        <x:v>46231.47525462963</x:v>
      </x:c>
      <x:c r="D266" s="23" t="str">
        <x:v>StockSavvyShay</x:v>
      </x:c>
      <x:c r="E266" s="23" t="str">
        <x:v>bullish</x:v>
      </x:c>
      <x:c r="F266" s="34" t="n">
        <x:v>0.8</x:v>
      </x:c>
      <x:c r="G266" s="23" t="str">
        <x:v>needs_review</x:v>
      </x:c>
      <x:c r="H266" s="23" t="str">
        <x:v>claim</x:v>
      </x:c>
      <x:c r="I266" s="23" t="str">
        <x:v>first_mention</x:v>
      </x:c>
      <x:c r="J266" s="23" t="str">
        <x:v>catalyst</x:v>
      </x:c>
      <x:c r="K266" s="50" t="str">
        <x:v>8월 5일 발사로 인해 Block 1 최대 다운로드 속도가 거의 두 배로 증가할 것이며, 이는 회사의 기술 발전을 보여줌.</x:v>
      </x:c>
      <x:c r="L266" s="50" t="str">
        <x:v>$ASTS will launch BlueBird 11, 12 and 13 aboard a $SPCX Falcon 9 on August 5.
The satellites are expected to nearly double Block 1 peak download speeds while BlueBird 14, 15 and 16 are already being prepared for the next launch. https://t.co/X4g5YSt196</x:v>
      </x:c>
      <x:c r="M266" s="65" t="str">
        <x:v>https://x.com/StockSavvyShay/status/2082064618856534211</x:v>
      </x:c>
      <x:c r="N266" s="23" t="str">
        <x:v>제외</x:v>
      </x:c>
    </x:row>
    <x:row r="267" ht="60" customHeight="1">
      <x:c r="A267" s="23" t="n">
        <x:v>2214</x:v>
      </x:c>
      <x:c r="B267" s="23" t="str">
        <x:v>NVDA</x:v>
      </x:c>
      <x:c r="C267" s="53" t="n">
        <x:v>46231.54949074074</x:v>
      </x:c>
      <x:c r="D267" s="23" t="str">
        <x:v>StockSavvyShay</x:v>
      </x:c>
      <x:c r="E267" s="23" t="str">
        <x:v>bullish</x:v>
      </x:c>
      <x:c r="F267" s="34" t="n">
        <x:v>0.8</x:v>
      </x:c>
      <x:c r="G267" s="23" t="str">
        <x:v>needs_review</x:v>
      </x:c>
      <x:c r="H267" s="23" t="str">
        <x:v>claim</x:v>
      </x:c>
      <x:c r="I267" s="23" t="str">
        <x:v>first_mention</x:v>
      </x:c>
      <x:c r="J267" s="23" t="str">
        <x:v>growth</x:v>
      </x:c>
      <x:c r="K267" s="50" t="str">
        <x:v>중국 AI 기업 Moonshot AI가 미국 수출 제한에도 불구하고 NVDA Blackwell GPU 수요를 늘리고 있으며, 기존 K3 모델이 이미 Blackwell 용량을 사용하고 추론 용량을 초과했다는 점은 NVDA의 강력한 수요를 시사</x:v>
      </x:c>
      <x:c r="L267" s="50" t="str">
        <x:v>Moonshot AI is seeking more $NVDA Blackwell GPUs to train Kimi K4 expected to be far larger than its 2.8T-parameter K3 despite U.S. export restrictions.
K3 already used Blackwell capacity across multiple Chinese cloud providers &amp;amp; overwhelmed inference capacity within 48 hours. https://t.co/BuohUKkyXm</x:v>
      </x:c>
      <x:c r="M267" s="65" t="str">
        <x:v>https://x.com/StockSavvyShay/status/2082091520694575397</x:v>
      </x:c>
      <x:c r="N267" s="23" t="str">
        <x:v>제외</x:v>
      </x:c>
    </x:row>
    <x:row r="268" ht="60" customHeight="1">
      <x:c r="A268" s="23" t="n">
        <x:v>2219</x:v>
      </x:c>
      <x:c r="B268" s="23" t="str">
        <x:v>NVDA</x:v>
      </x:c>
      <x:c r="C268" s="53" t="n">
        <x:v>46231.588472222225</x:v>
      </x:c>
      <x:c r="D268" s="23" t="str">
        <x:v>Beth_Kindig</x:v>
      </x:c>
      <x:c r="E268" s="23" t="str">
        <x:v>neutral</x:v>
      </x:c>
      <x:c r="F268" s="34" t="n">
        <x:v>0.5</x:v>
      </x:c>
      <x:c r="G268" s="23" t="str">
        <x:v>needs_review</x:v>
      </x:c>
      <x:c r="H268" s="23" t="str">
        <x:v>stance</x:v>
      </x:c>
      <x:c r="I268" s="23"/>
      <x:c r="J268" s="23" t="str">
        <x:v>other</x:v>
      </x:c>
      <x:c r="K268" s="50" t="str">
        <x:v>엔비디아가 CoWoS 및 HBM 수요의 주요 부분을 차지하며 AI 칩 병목 현상의 핵심임.</x:v>
      </x:c>
      <x:c r="L268" s="50" t="str">
        <x:v>Nvidia, Google, AMD, and Amazon accounted for roughly 90% of CoWoS demand and 92% of HBM demand, highlighting packaging and memory as key AI chip bottlenecks. 
$NVDA $GOOG $AMD $AMZN $TSM https://t.co/Pu8I55LWa8</x:v>
      </x:c>
      <x:c r="M268" s="65" t="str">
        <x:v>https://x.com/Beth_Kindig/status/2082105646002864492</x:v>
      </x:c>
      <x:c r="N268" s="23" t="str">
        <x:v>제외</x:v>
      </x:c>
    </x:row>
    <x:row r="269" ht="60" customHeight="1">
      <x:c r="A269" s="23" t="n">
        <x:v>2233</x:v>
      </x:c>
      <x:c r="B269" s="23" t="str">
        <x:v>NVDA</x:v>
      </x:c>
      <x:c r="C269" s="53" t="n">
        <x:v>46231.71084490741</x:v>
      </x:c>
      <x:c r="D269" s="23" t="str">
        <x:v>StockSavvyShay</x:v>
      </x:c>
      <x:c r="E269" s="23" t="str">
        <x:v>bullish</x:v>
      </x:c>
      <x:c r="F269" s="34" t="n">
        <x:v>0.9</x:v>
      </x:c>
      <x:c r="G269" s="23" t="str">
        <x:v>auto</x:v>
      </x:c>
      <x:c r="H269" s="23"/>
      <x:c r="I269" s="23"/>
      <x:c r="J269" s="23" t="str">
        <x:v>thesis</x:v>
      </x:c>
      <x:c r="K269" s="50" t="str">
        <x:v>NVDA가 곧 다시 최고 자리를 되찾을 것이다.</x:v>
      </x:c>
      <x:c r="L269" s="50" t="str">
        <x:v>@VanquishTrader $NVDA will reclaim the top spot in no time.</x:v>
      </x:c>
      <x:c r="M269" s="65" t="str">
        <x:v>https://x.com/StockSavvyShay/status/2082149993520214342</x:v>
      </x:c>
      <x:c r="N269" s="23" t="str">
        <x:v>vote 변경</x:v>
      </x:c>
    </x:row>
    <x:row r="270" ht="60" customHeight="1">
      <x:c r="A270" s="23" t="n">
        <x:v>2274</x:v>
      </x:c>
      <x:c r="B270" s="23" t="str">
        <x:v>NVDA</x:v>
      </x:c>
      <x:c r="C270" s="53" t="n">
        <x:v>46231.71748842593</x:v>
      </x:c>
      <x:c r="D270" s="23" t="str">
        <x:v>StockMKTNewz</x:v>
      </x:c>
      <x:c r="E270" s="23" t="str">
        <x:v>bullish</x:v>
      </x:c>
      <x:c r="F270" s="34" t="n">
        <x:v>0.7</x:v>
      </x:c>
      <x:c r="G270" s="23" t="str">
        <x:v>needs_review</x:v>
      </x:c>
      <x:c r="H270" s="23" t="str">
        <x:v>stance</x:v>
      </x:c>
      <x:c r="I270" s="23"/>
      <x:c r="J270" s="23" t="str">
        <x:v>other</x:v>
      </x:c>
      <x:c r="K270" s="50" t="str">
        <x:v>젠슨 황이 엔비디아를 통해 타인을 위해 막대한 가치를 창출했다는 점에서 긍정적 시각</x:v>
      </x:c>
      <x:c r="L270" s="50" t="str">
        <x:v>Jensen Huang has created almost $5 Trillion of value for other people
Jensen Huang's stake in Nvidia $NVDA is currently worth ~$160 Billion
Nvidia is currently worth ~$4.8 Trillion
That means Jensen Huang has created more than $4.6 Trillion of value for other people https://t.co/KxlDxn4TAP</x:v>
      </x:c>
      <x:c r="M270" s="65" t="str">
        <x:v>https://x.com/StockMKTNewz/status/2082152401071386680</x:v>
      </x:c>
      <x:c r="N270" s="23" t="str">
        <x:v>제외</x:v>
      </x:c>
    </x:row>
    <x:row r="271" ht="60" customHeight="1">
      <x:c r="A271" s="23" t="n">
        <x:v>2243</x:v>
      </x:c>
      <x:c r="B271" s="23" t="str">
        <x:v>AAOI</x:v>
      </x:c>
      <x:c r="C271" s="53" t="n">
        <x:v>46231.78460648148</x:v>
      </x:c>
      <x:c r="D271" s="23" t="str">
        <x:v>StockSavvyShay</x:v>
      </x:c>
      <x:c r="E271" s="23" t="str">
        <x:v>neutral</x:v>
      </x:c>
      <x:c r="F271" s="34" t="n">
        <x:v>0</x:v>
      </x:c>
      <x:c r="G271" s="23" t="str">
        <x:v>needs_review</x:v>
      </x:c>
      <x:c r="H271" s="23" t="str">
        <x:v>stance</x:v>
      </x:c>
      <x:c r="I271" s="23"/>
      <x:c r="J271" s="23" t="str">
        <x:v>other</x:v>
      </x:c>
      <x:c r="K271" s="50" t="str">
        <x:v>최근 한 달간 42% 하락</x:v>
      </x:c>
      <x:c r="L271" s="50" t="str">
        <x:v>Semiconductor stocks have suffered brutal drawdowns from their highs over past month:
• $SNDK −52%
• $AMKR −47%
• $ALAB −46%
• $AAOI −42%
• $SKHY −42%
• $MRVL −41%
• $COHR −39%
• $INTC −38%
• $KLAC −37%
• $AMAT −34%
• $ARM −31%
• $AEHR −31%
• $MU −30%</x:v>
      </x:c>
      <x:c r="M271" s="65" t="str">
        <x:v>https://x.com/StockSavvyShay/status/2082176721458262316</x:v>
      </x:c>
      <x:c r="N271" s="23" t="str">
        <x:v>제외</x:v>
      </x:c>
    </x:row>
    <x:row r="272" ht="60" customHeight="1">
      <x:c r="A272" s="23" t="n">
        <x:v>2246</x:v>
      </x:c>
      <x:c r="B272" s="23" t="str">
        <x:v>COHR</x:v>
      </x:c>
      <x:c r="C272" s="53" t="n">
        <x:v>46231.78460648148</x:v>
      </x:c>
      <x:c r="D272" s="23" t="str">
        <x:v>StockSavvyShay</x:v>
      </x:c>
      <x:c r="E272" s="23" t="str">
        <x:v>neutral</x:v>
      </x:c>
      <x:c r="F272" s="34" t="n">
        <x:v>0</x:v>
      </x:c>
      <x:c r="G272" s="23" t="str">
        <x:v>needs_review</x:v>
      </x:c>
      <x:c r="H272" s="23" t="str">
        <x:v>stance</x:v>
      </x:c>
      <x:c r="I272" s="23"/>
      <x:c r="J272" s="23" t="str">
        <x:v>other</x:v>
      </x:c>
      <x:c r="K272" s="50" t="str">
        <x:v>최근 한 달간 39% 하락</x:v>
      </x:c>
      <x:c r="L272" s="50" t="str">
        <x:v>Semiconductor stocks have suffered brutal drawdowns from their highs over past month:
• $SNDK −52%
• $AMKR −47%
• $ALAB −46%
• $AAOI −42%
• $SKHY −42%
• $MRVL −41%
• $COHR −39%
• $INTC −38%
• $KLAC −37%
• $AMAT −34%
• $ARM −31%
• $AEHR −31%
• $MU −30%</x:v>
      </x:c>
      <x:c r="M272" s="65" t="str">
        <x:v>https://x.com/StockSavvyShay/status/2082176721458262316</x:v>
      </x:c>
      <x:c r="N272" s="23" t="str">
        <x:v>제외</x:v>
      </x:c>
    </x:row>
    <x:row r="273" ht="60" customHeight="1">
      <x:c r="A273" s="23" t="n">
        <x:v>2254</x:v>
      </x:c>
      <x:c r="B273" s="23" t="str">
        <x:v>NVDA</x:v>
      </x:c>
      <x:c r="C273" s="53" t="n">
        <x:v>46231.79238425926</x:v>
      </x:c>
      <x:c r="D273" s="23" t="str">
        <x:v>StockSavvyShay</x:v>
      </x:c>
      <x:c r="E273" s="23" t="str">
        <x:v>bearish</x:v>
      </x:c>
      <x:c r="F273" s="34" t="n">
        <x:v>0.6</x:v>
      </x:c>
      <x:c r="G273" s="23" t="str">
        <x:v>needs_review</x:v>
      </x:c>
      <x:c r="H273" s="23" t="str">
        <x:v>stance</x:v>
      </x:c>
      <x:c r="I273" s="23" t="str">
        <x:v>first_mention</x:v>
      </x:c>
      <x:c r="J273" s="23" t="str">
        <x:v>risk</x:v>
      </x:c>
      <x:c r="K273" s="50" t="str">
        <x:v>구글의 TPU 채택이 엔비디아 GPU의 대안으로 부각되어 경쟁 위험</x:v>
      </x:c>
      <x:c r="L273" s="50" t="str">
        <x:v>$GOOGL reportedly agrees to guarantee up to $44B of third-party data center leases across ~2.4 GW and 10 projects.
The backstop supports TPU adoption as an alternative to $NVDA with Google expecting TPU revenue to exceed any obligations created by the guarantees. https://t.co/03UeiAwg0K</x:v>
      </x:c>
      <x:c r="M273" s="65" t="str">
        <x:v>https://x.com/StockSavvyShay/status/2082179540730941844</x:v>
      </x:c>
      <x:c r="N273" s="23" t="str">
        <x:v>제외</x:v>
      </x:c>
    </x:row>
    <x:row r="274" ht="60" customHeight="1">
      <x:c r="A274" s="23" t="n">
        <x:v>2255</x:v>
      </x:c>
      <x:c r="B274" s="23" t="str">
        <x:v>NVDA</x:v>
      </x:c>
      <x:c r="C274" s="53" t="n">
        <x:v>46231.81869212963</x:v>
      </x:c>
      <x:c r="D274" s="23" t="str">
        <x:v>StockSavvyShay</x:v>
      </x:c>
      <x:c r="E274" s="23" t="str">
        <x:v>neutral</x:v>
      </x:c>
      <x:c r="F274" s="34" t="n">
        <x:v>0.7</x:v>
      </x:c>
      <x:c r="G274" s="23" t="str">
        <x:v>needs_review</x:v>
      </x:c>
      <x:c r="H274" s="23" t="str">
        <x:v>stance</x:v>
      </x:c>
      <x:c r="I274" s="23"/>
      <x:c r="J274" s="23" t="str">
        <x:v>thesis</x:v>
      </x:c>
      <x:c r="K274" s="50" t="str">
        <x:v>AI 사이클이 붕괴하는 것이 아니라 거시경제 및 포지셔닝 조정 중</x:v>
      </x:c>
      <x:c r="L274" s="50" t="str">
        <x:v>Semiconductors are on track for their worst month since 2022 as several macro shocks  hit the market’s most crowded trade at once.
The market going back into "war mode" raised fears around oil, inflation, interest rates and supply chains breaking momentum before concerns over AI infrastructure returns and Kimi K3 revived many of the same fears that followed DeepSeek.
I view this as a macro and positioning reset rather than evidence that the AI cycle is breaking simultaneously across every layer of the semiconductor supply chain from $NVDA, $AMD and $INTC to $TSM, $ASML $MU, $SKHY.</x:v>
      </x:c>
      <x:c r="M274" s="65" t="str">
        <x:v>https://x.com/StockSavvyShay/status/2082189076103590088</x:v>
      </x:c>
      <x:c r="N274" s="23" t="str">
        <x:v>제외</x:v>
      </x:c>
    </x:row>
    <x:row r="275" ht="60" customHeight="1">
      <x:c r="A275" s="23" t="n">
        <x:v>2288</x:v>
      </x:c>
      <x:c r="B275" s="23" t="str">
        <x:v>LITE</x:v>
      </x:c>
      <x:c r="C275" s="53" t="n">
        <x:v>46231.93434027778</x:v>
      </x:c>
      <x:c r="D275" s="23" t="str">
        <x:v>aleabitoreddit</x:v>
      </x:c>
      <x:c r="E275" s="23" t="str">
        <x:v>bullish</x:v>
      </x:c>
      <x:c r="F275" s="34" t="n">
        <x:v>0.7</x:v>
      </x:c>
      <x:c r="G275" s="23" t="str">
        <x:v>needs_review</x:v>
      </x:c>
      <x:c r="H275" s="23" t="str">
        <x:v>stance</x:v>
      </x:c>
      <x:c r="I275" s="23" t="str">
        <x:v>first_mention</x:v>
      </x:c>
      <x:c r="J275" s="23" t="str">
        <x:v>earnings</x:v>
      </x:c>
      <x:c r="K275" s="50" t="str">
        <x:v>실적 발표가 AI 가속화 추세를 이어갈 것으로 기대</x:v>
      </x:c>
      <x:c r="L275" s="50" t="str">
        <x:v>I personally see it as extreme short term deleveraging that overshot many individual names. 
- $BE to $TER reported blowout results, with Bloom reporting 166% Y/Y rev growth + expanding margins + raised 2026 guidance... Teradyne reported 104% Y/Y revenue growth with 300%+ EPS growth. 
Your leading optical players over in China reported amazing preliminary earnings + extremely strong read through for the Western photonics sector. 
Think earnings season tend to remind markets about continued AI acceleration. I'm expecting $LITE, $SNDK / SK Hynix, and sector leader ERs to continue that trend.   
But it does feel like markets are rewarding existing acceleration more rather than future growth a year out over near-term revisions as seen with $AMKR. 
But as a TLDR, looks very positive for the themes I'm tracking.  
- Then you have $GOOGL capex raised to $195-$205B, which is typically the biggest AI demand signal from hyperscalers. 
- 77% 0bps change est. next FOMC decision from prediction markets. Trump administration on Monday called for the Fed to lower interest rates. 
So your 3x rate hikes fears this year seem kinda overblown. 
- Chinese fears from DUV to $CXMT overflooding are extremely overblown as well. We see this with every sector from time to time until people remember that lasers or HBM bottlenecks for a reason. 
As for personal thoughts, it was unhealthy seeing everything rise up or down together, especially with these themes. But I'm personally not worried since I have full conviction in my names, especially optical interconnects like $SIVE or $AAOI. 
$META compute and $GOOGL GCP margins/growth shows increasing demand for $NBIS and similar neocloud business models. 
$META + other hyperscaler notes around LTAs with $SNDK and Samsung/SK Hynix, $MU point to structural memory demand. 
Can go on and on... 
But when you have Jim Cramer telling every margined DC trader to "sell everything" at market open and news saying there's an AI bubble. 
I do hate it when others say "it's dropping so sell". My belief is that the important thing to look is accelerating revenue/EPS growth. And if that thesis stays in-tact with revenue acceleration in line with hyperscaler capex. 
TLDR: I see signs of AI demand / revenue acceleration, hyperscaler capex is one of the most important things to track. 
And my guess is that we'll see the theme recover broadly. But I can't predict what hour, day, or week that happens.</x:v>
      </x:c>
      <x:c r="M275" s="65" t="str">
        <x:v>https://x.com/aleabitoreddit/status/2082230983487803755</x:v>
      </x:c>
      <x:c r="N275" s="23" t="str">
        <x:v>제외</x:v>
      </x:c>
    </x:row>
    <x:row r="276" ht="60" customHeight="1">
      <x:c r="A276" s="23" t="n">
        <x:v>2294</x:v>
      </x:c>
      <x:c r="B276" s="23" t="str">
        <x:v>AAOI</x:v>
      </x:c>
      <x:c r="C276" s="53" t="n">
        <x:v>46231.93434027778</x:v>
      </x:c>
      <x:c r="D276" s="23" t="str">
        <x:v>aleabitoreddit</x:v>
      </x:c>
      <x:c r="E276" s="23" t="str">
        <x:v>bullish</x:v>
      </x:c>
      <x:c r="F276" s="34" t="n">
        <x:v>0.9</x:v>
      </x:c>
      <x:c r="G276" s="23" t="str">
        <x:v>auto</x:v>
      </x:c>
      <x:c r="H276" s="23"/>
      <x:c r="I276" s="23" t="str">
        <x:v>first_mention</x:v>
      </x:c>
      <x:c r="J276" s="23" t="str">
        <x:v>thesis</x:v>
      </x:c>
      <x:c r="K276" s="50" t="str">
        <x:v>광학 인터커넥트에 대한 강한 확신</x:v>
      </x:c>
      <x:c r="L276" s="50" t="str">
        <x:v>I personally see it as extreme short term deleveraging that overshot many individual names. 
- $BE to $TER reported blowout results, with Bloom reporting 166% Y/Y rev growth + expanding margins + raised 2026 guidance... Teradyne reported 104% Y/Y revenue growth with 300%+ EPS growth. 
Your leading optical players over in China reported amazing preliminary earnings + extremely strong read through for the Western photonics sector. 
Think earnings season tend to remind markets about continued AI acceleration. I'm expecting $LITE, $SNDK / SK Hynix, and sector leader ERs to continue that trend.   
But it does feel like markets are rewarding existing acceleration more rather than future growth a year out over near-term revisions as seen with $AMKR. 
But as a TLDR, looks very positive for the themes I'm tracking.  
- Then you have $GOOGL capex raised to $195-$205B, which is typically the biggest AI demand signal from hyperscalers. 
- 77% 0bps change est. next FOMC decision from prediction markets. Trump administration on Monday called for the Fed to lower interest rates. 
So your 3x rate hikes fears this year seem kinda overblown. 
- Chinese fears from DUV to $CXMT overflooding are extremely overblown as well. We see this with every sector from time to time until people remember that lasers or HBM bottlenecks for a reason. 
As for personal thoughts, it was unhealthy seeing everything rise up or down together, especially with these themes. But I'm personally not worried since I have full conviction in my names, especially optical interconnects like $SIVE or $AAOI. 
$META compute and $GOOGL GCP margins/growth shows increasing demand for $NBIS and similar neocloud business models. 
$META + other hyperscaler notes around LTAs with $SNDK and Samsung/SK Hynix, $MU point to structural memory demand. 
Can go on and on... 
But when you have Jim Cramer telling every margined DC trader to "sell everything" at market open and news saying there's an AI bubble. 
I do hate it when others say "it's dropping so sell". My belief is that the important thing to look is accelerating revenue/EPS growth. And if that thesis stays in-tact with revenue acceleration in line with hyperscaler capex. 
TLDR: I see signs of AI demand / revenue acceleration, hyperscaler capex is one of the most important things to track. 
And my guess is that we'll see the theme recover broadly. But I can't predict what hour, day, or week that happens.</x:v>
      </x:c>
      <x:c r="M276" s="65" t="str">
        <x:v>https://x.com/aleabitoreddit/status/2082230983487803755</x:v>
      </x:c>
      <x:c r="N276" s="23" t="str">
        <x:v>vote 변경</x:v>
      </x:c>
    </x:row>
    <x:row r="277" ht="60" customHeight="1">
      <x:c r="A277" s="23" t="n">
        <x:v>2315</x:v>
      </x:c>
      <x:c r="B277" s="23" t="str">
        <x:v>NVDA</x:v>
      </x:c>
      <x:c r="C277" s="53" t="n">
        <x:v>46232.47813657407</x:v>
      </x:c>
      <x:c r="D277" s="23" t="str">
        <x:v>StockSavvyShay</x:v>
      </x:c>
      <x:c r="E277" s="23" t="str">
        <x:v>bullish</x:v>
      </x:c>
      <x:c r="F277" s="34" t="n">
        <x:v>0.8</x:v>
      </x:c>
      <x:c r="G277" s="23" t="str">
        <x:v>auto</x:v>
      </x:c>
      <x:c r="H277" s="23"/>
      <x:c r="I277" s="23" t="str">
        <x:v>first_mention</x:v>
      </x:c>
      <x:c r="J277" s="23" t="str">
        <x:v>thesis</x:v>
      </x:c>
      <x:c r="K277" s="50" t="str">
        <x:v>NVDA는 공급이 제약된 상태에서 자금 조달을 통해 대기 중인 고객의 배포를 가속화하고 있으며, 이는 수요 창출이 아닌 기존 수요 충족을 위한 것이다.</x:v>
      </x:c>
      <x:c r="L277" s="50" t="str">
        <x:v>Michael Burry says $NVDA five-year credit default swaps are surging because the company is “overreaching” to sustain circular AI spending.
But that assumes vendor financing is creating demand when Nvidia remains supply-constrained and is using financing to accelerate deployment for customers already waiting on chips.</x:v>
      </x:c>
      <x:c r="M277" s="65" t="str">
        <x:v>https://x.com/StockSavvyShay/status/2082428051162546249</x:v>
      </x:c>
      <x:c r="N277" s="23" t="str">
        <x:v>vote 변경</x:v>
      </x:c>
    </x:row>
    <x:row r="278" ht="60" customHeight="1">
      <x:c r="A278" s="23" t="n">
        <x:v>2340</x:v>
      </x:c>
      <x:c r="B278" s="23" t="str">
        <x:v>NVDA</x:v>
      </x:c>
      <x:c r="C278" s="53" t="n">
        <x:v>46232.70659722222</x:v>
      </x:c>
      <x:c r="D278" s="23" t="str">
        <x:v>Beth_Kindig</x:v>
      </x:c>
      <x:c r="E278" s="23" t="str">
        <x:v>bullish</x:v>
      </x:c>
      <x:c r="F278" s="34" t="n">
        <x:v>0.7</x:v>
      </x:c>
      <x:c r="G278" s="23" t="str">
        <x:v>needs_review</x:v>
      </x:c>
      <x:c r="H278" s="23" t="str">
        <x:v>stance</x:v>
      </x:c>
      <x:c r="I278" s="23" t="str">
        <x:v>first_mention</x:v>
      </x:c>
      <x:c r="J278" s="23" t="str">
        <x:v>catalyst</x:v>
      </x:c>
      <x:c r="K278" s="50" t="str">
        <x:v>TSMC의 첨단 노드 확장은 NVIDIA의 차세대 칩 생산을 지원할 것입니다.</x:v>
      </x:c>
      <x:c r="L278" s="50" t="str">
        <x:v>TSMC's $TSM advanced-node expansion roadmap includes N5-to-N3 capacity conversions within 6–12 months, N3 volume production in Taiwan (H1 2027), Arizona (H2 2027), and Japan (2028).
Additional N2 and below capacity is planned for Arizona and Taiwan beyond 2028, supporting the company's next phase of advanced semiconductor manufacturing growth. 
$NVDA $AMD $AVGO</x:v>
      </x:c>
      <x:c r="M278" s="65" t="str">
        <x:v>https://x.com/Beth_Kindig/status/2082510841161679218</x:v>
      </x:c>
      <x:c r="N278" s="23" t="str">
        <x:v>제외</x:v>
      </x:c>
    </x:row>
    <x:row r="279" ht="60" customHeight="1">
      <x:c r="A279" s="23" t="n">
        <x:v>2346</x:v>
      </x:c>
      <x:c r="B279" s="23" t="str">
        <x:v>LITE</x:v>
      </x:c>
      <x:c r="C279" s="53" t="n">
        <x:v>46232.71366898148</x:v>
      </x:c>
      <x:c r="D279" s="23" t="str">
        <x:v>aleabitoreddit</x:v>
      </x:c>
      <x:c r="E279" s="23" t="str">
        <x:v>bullish</x:v>
      </x:c>
      <x:c r="F279" s="34" t="n">
        <x:v>0.8</x:v>
      </x:c>
      <x:c r="G279" s="23" t="str">
        <x:v>auto</x:v>
      </x:c>
      <x:c r="H279" s="23"/>
      <x:c r="I279" s="23" t="str">
        <x:v>first_mention</x:v>
      </x:c>
      <x:c r="J279" s="23" t="str">
        <x:v>catalyst</x:v>
      </x:c>
      <x:c r="K279" s="50" t="str">
        <x:v>GFS의 CPO 관련 발표에서 Lumentum이 유일한 공개 레이저 공급업체로 언급되어 수혜 예상</x:v>
      </x:c>
      <x:c r="L279" s="50" t="str">
        <x:v>US Gov to take 1% stake in $GFS, and award them $300m for the US CHIPS ACT.
This is actually a strong read through on $SIVE / $LITE, given this CHIPS ACT is specifically aimed at advancing CPO + Silicon Photonics. 
(For reference, Sivers and Lumentum were the only two public laser suppliers named in GFS presentation slides. Sivers laser arrays was named recently as a reference design in Globalfoundries SCALE for CPO).  
Per US Gov announcement: "GlobalFoundries will receive up to $300 million to accelerate domestic CPO R&amp;D by two to three years" (NIST)
Never thought we'd see the US Gov / $INTC foundry playbook for CPO in specific...</x:v>
      </x:c>
      <x:c r="M279" s="65" t="str">
        <x:v>https://x.com/aleabitoreddit/status/2082513405219631384</x:v>
      </x:c>
      <x:c r="N279" s="23" t="str">
        <x:v>vote 변경</x:v>
      </x:c>
    </x:row>
    <x:row r="280" ht="60" customHeight="1">
      <x:c r="A280" s="23" t="n">
        <x:v>2352</x:v>
      </x:c>
      <x:c r="B280" s="23" t="str">
        <x:v>LITE</x:v>
      </x:c>
      <x:c r="C280" s="53" t="n">
        <x:v>46232.72467592593</x:v>
      </x:c>
      <x:c r="D280" s="23" t="str">
        <x:v>aleabitoreddit</x:v>
      </x:c>
      <x:c r="E280" s="23" t="str">
        <x:v>bullish</x:v>
      </x:c>
      <x:c r="F280" s="34" t="n">
        <x:v>0.8</x:v>
      </x:c>
      <x:c r="G280" s="23" t="str">
        <x:v>auto</x:v>
      </x:c>
      <x:c r="H280" s="23"/>
      <x:c r="I280" s="23" t="str">
        <x:v>first_mention</x:v>
      </x:c>
      <x:c r="J280" s="23" t="str">
        <x:v>catalyst</x:v>
      </x:c>
      <x:c r="K280" s="50" t="str">
        <x:v>미국 CPO 공급망 참여로 긍정적 영향</x:v>
      </x:c>
      <x:c r="L280" s="50" t="str">
        <x:v>I kinda expected it for critical minerals since Western needs as much subsidies as possible to compete with China.
US Gov taking a stake in $GFS for CPO was not on my calendar. But it does go to show CPO becoming a compute supply chain priority and they made Globalfoundries a domestic champion. 
Which my thoughts are that it's positive for all the Western players this US CPO supply chains like $LITE / $SIVE. Not so much for other parts of the world.</x:v>
      </x:c>
      <x:c r="M280" s="65" t="str">
        <x:v>https://x.com/aleabitoreddit/status/2082517392031375418</x:v>
      </x:c>
      <x:c r="N280" s="23" t="str">
        <x:v>vote 변경</x:v>
      </x:c>
    </x:row>
    <x:row r="281" ht="60" customHeight="1">
      <x:c r="A281" s="23" t="n">
        <x:v>2357</x:v>
      </x:c>
      <x:c r="B281" s="23" t="str">
        <x:v>AAOI</x:v>
      </x:c>
      <x:c r="C281" s="53" t="n">
        <x:v>46232.7328125</x:v>
      </x:c>
      <x:c r="D281" s="23" t="str">
        <x:v>aleabitoreddit</x:v>
      </x:c>
      <x:c r="E281" s="23" t="str">
        <x:v>bearish</x:v>
      </x:c>
      <x:c r="F281" s="34" t="n">
        <x:v>0.8</x:v>
      </x:c>
      <x:c r="G281" s="23" t="str">
        <x:v>auto</x:v>
      </x:c>
      <x:c r="H281" s="23"/>
      <x:c r="I281" s="23" t="str">
        <x:v>first_mention</x:v>
      </x:c>
      <x:c r="J281" s="23" t="str">
        <x:v>valuation</x:v>
      </x:c>
      <x:c r="K281" s="50" t="str">
        <x:v>AAOI의 2027년 연간 매출 56억 달러 달성 및 현재 시가총액 63억 달러 유지에 회의적</x:v>
      </x:c>
      <x:c r="L281" s="50" t="str">
        <x:v>Global indiscriminate AI deleveraging right now, $AAOI is one of the high-beta names affected.
I'd personally be surprised to say the least if they do $5.6B annualized revenue in 2027 (off of $471m/month projections), and remain a $6.3B company.
$LITE annualized right now is ~$3.23B and they're a $48B company (but higher margins)</x:v>
      </x:c>
      <x:c r="M281" s="65" t="str">
        <x:v>https://x.com/aleabitoreddit/status/2082520341633732966</x:v>
      </x:c>
      <x:c r="N281" s="23" t="str">
        <x:v>vote 변경</x:v>
      </x:c>
    </x:row>
    <x:row r="282" ht="60" customHeight="1">
      <x:c r="A282" s="23" t="n">
        <x:v>2358</x:v>
      </x:c>
      <x:c r="B282" s="23" t="str">
        <x:v>LITE</x:v>
      </x:c>
      <x:c r="C282" s="53" t="n">
        <x:v>46232.7328125</x:v>
      </x:c>
      <x:c r="D282" s="23" t="str">
        <x:v>aleabitoreddit</x:v>
      </x:c>
      <x:c r="E282" s="23" t="str">
        <x:v>neutral</x:v>
      </x:c>
      <x:c r="F282" s="34" t="n">
        <x:v>0.7</x:v>
      </x:c>
      <x:c r="G282" s="23" t="str">
        <x:v>needs_review</x:v>
      </x:c>
      <x:c r="H282" s="23" t="str">
        <x:v>stance</x:v>
      </x:c>
      <x:c r="I282" s="23" t="str">
        <x:v>first_mention</x:v>
      </x:c>
      <x:c r="J282" s="23" t="str">
        <x:v>other</x:v>
      </x:c>
      <x:c r="K282" s="50" t="str">
        <x:v>LITE는 AAOI 대비 높은 마진으로 더 나은 밸류에이션을 받고 있음</x:v>
      </x:c>
      <x:c r="L282" s="50" t="str">
        <x:v>Global indiscriminate AI deleveraging right now, $AAOI is one of the high-beta names affected.
I'd personally be surprised to say the least if they do $5.6B annualized revenue in 2027 (off of $471m/month projections), and remain a $6.3B company.
$LITE annualized right now is ~$3.23B and they're a $48B company (but higher margins)</x:v>
      </x:c>
      <x:c r="M282" s="65" t="str">
        <x:v>https://x.com/aleabitoreddit/status/2082520341633732966</x:v>
      </x:c>
      <x:c r="N282" s="23" t="str">
        <x:v>제외</x:v>
      </x:c>
    </x:row>
    <x:row r="283" ht="60" customHeight="1">
      <x:c r="A283" s="23" t="n">
        <x:v>2363</x:v>
      </x:c>
      <x:c r="B283" s="23" t="str">
        <x:v>NVDA</x:v>
      </x:c>
      <x:c r="C283" s="53" t="n">
        <x:v>46232.78581018518</x:v>
      </x:c>
      <x:c r="D283" s="23" t="str">
        <x:v>Beth_Kindig</x:v>
      </x:c>
      <x:c r="E283" s="23" t="str">
        <x:v>neutral</x:v>
      </x:c>
      <x:c r="F283" s="34" t="n">
        <x:v>0.5</x:v>
      </x:c>
      <x:c r="G283" s="23" t="str">
        <x:v>needs_review</x:v>
      </x:c>
      <x:c r="H283" s="23" t="str">
        <x:v>stance</x:v>
      </x:c>
      <x:c r="I283" s="23"/>
      <x:c r="J283" s="23" t="str">
        <x:v>other</x:v>
      </x:c>
      <x:c r="K283" s="50"/>
      <x:c r="L283" s="50" t="str">
        <x:v>If Meta's Advantage+ ARR grows 1.5X in nine months from October 2025 to July 2026, its run rate would reach $90 billion – meaning it is very possible that $META is still second only to Nvidia $NVDA on AI revenue. My original analysis from 6 mos ago is below ⬇️</x:v>
      </x:c>
      <x:c r="M283" s="65" t="str">
        <x:v>https://x.com/Beth_Kindig/status/2082539547183792576</x:v>
      </x:c>
      <x:c r="N283" s="23" t="str">
        <x:v>제외</x:v>
      </x:c>
    </x:row>
    <x:row r="284" ht="60" customHeight="1">
      <x:c r="A284" s="23" t="n">
        <x:v>2371</x:v>
      </x:c>
      <x:c r="B284" s="23" t="str">
        <x:v>NVDA</x:v>
      </x:c>
      <x:c r="C284" s="53" t="n">
        <x:v>46232.81112268518</x:v>
      </x:c>
      <x:c r="D284" s="23" t="str">
        <x:v>StockSavvyShay</x:v>
      </x:c>
      <x:c r="E284" s="23" t="str">
        <x:v>neutral</x:v>
      </x:c>
      <x:c r="F284" s="34" t="n">
        <x:v>0</x:v>
      </x:c>
      <x:c r="G284" s="23" t="str">
        <x:v>needs_review</x:v>
      </x:c>
      <x:c r="H284" s="23" t="str">
        <x:v>stance</x:v>
      </x:c>
      <x:c r="I284" s="23"/>
      <x:c r="J284" s="23" t="str">
        <x:v>other</x:v>
      </x:c>
      <x:c r="K284" s="50"/>
      <x:c r="L284" s="50" t="str">
        <x:v>President Trump says $NVDA CEO Jensen Huang is in the Oval Office discussing open Chinese AI models and chip sales to China. https://t.co/7cAehmuBhV</x:v>
      </x:c>
      <x:c r="M284" s="65" t="str">
        <x:v>https://x.com/StockSavvyShay/status/2082548719011213459</x:v>
      </x:c>
      <x:c r="N284" s="23" t="str">
        <x:v>제외</x:v>
      </x:c>
    </x:row>
    <x:row r="285" ht="60" customHeight="1">
      <x:c r="A285" s="23" t="n">
        <x:v>2440</x:v>
      </x:c>
      <x:c r="B285" s="23" t="str">
        <x:v>LITE</x:v>
      </x:c>
      <x:c r="C285" s="53" t="n">
        <x:v>46232.89413194444</x:v>
      </x:c>
      <x:c r="D285" s="23" t="str">
        <x:v>aleabitoreddit</x:v>
      </x:c>
      <x:c r="E285" s="23" t="str">
        <x:v>neutral</x:v>
      </x:c>
      <x:c r="F285" s="34" t="n">
        <x:v>0.5</x:v>
      </x:c>
      <x:c r="G285" s="23" t="str">
        <x:v>needs_review</x:v>
      </x:c>
      <x:c r="H285" s="23" t="str">
        <x:v>stance</x:v>
      </x:c>
      <x:c r="I285" s="23" t="str">
        <x:v>first_mention</x:v>
      </x:c>
      <x:c r="J285" s="23" t="str">
        <x:v>other</x:v>
      </x:c>
      <x:c r="K285" s="50"/>
      <x:c r="L285" s="50" t="str">
        <x:v>$AXTI enters long term agreement with $LITE for InP substrates. 
Lumentum has agreed to pay a deposit of $43.5M as a reservation for capacity. https://t.co/5Dl3L9EYRa</x:v>
      </x:c>
      <x:c r="M285" s="65" t="str">
        <x:v>https://x.com/aleabitoreddit/status/2082578803189268855</x:v>
      </x:c>
      <x:c r="N285" s="23" t="str">
        <x:v>제외</x:v>
      </x:c>
    </x:row>
    <x:row r="286" ht="60" customHeight="1">
      <x:c r="A286" s="23" t="n">
        <x:v>2445</x:v>
      </x:c>
      <x:c r="B286" s="23" t="str">
        <x:v>LITE</x:v>
      </x:c>
      <x:c r="C286" s="53" t="n">
        <x:v>46232.90326388889</x:v>
      </x:c>
      <x:c r="D286" s="23" t="str">
        <x:v>StockSavvyShay</x:v>
      </x:c>
      <x:c r="E286" s="23" t="str">
        <x:v>neutral</x:v>
      </x:c>
      <x:c r="F286" s="34" t="n">
        <x:v>0.5</x:v>
      </x:c>
      <x:c r="G286" s="23" t="str">
        <x:v>needs_review</x:v>
      </x:c>
      <x:c r="H286" s="23" t="str">
        <x:v>stance</x:v>
      </x:c>
      <x:c r="I286" s="23" t="str">
        <x:v>first_mention</x:v>
      </x:c>
      <x:c r="J286" s="23" t="str">
        <x:v>other</x:v>
      </x:c>
      <x:c r="K286" s="50"/>
      <x:c r="L286" s="50" t="str">
        <x:v>$AXTI signed a long-term agreement to supply $LITE with indium phosphide substrates through 2031 including minimum annual capacity commitments.
Lumentum will back the agreement with $87M in deposits applied toward future shipments. https://t.co/yA1Rxxw8h8</x:v>
      </x:c>
      <x:c r="M286" s="65" t="str">
        <x:v>https://x.com/StockSavvyShay/status/2082582110456651795</x:v>
      </x:c>
      <x:c r="N286" s="23" t="str">
        <x:v>제외</x:v>
      </x:c>
    </x:row>
    <x:row r="287" ht="60" customHeight="1">
      <x:c r="A287" s="23" t="n">
        <x:v>2448</x:v>
      </x:c>
      <x:c r="B287" s="23" t="str">
        <x:v>COHR</x:v>
      </x:c>
      <x:c r="C287" s="53" t="n">
        <x:v>46232.90335648148</x:v>
      </x:c>
      <x:c r="D287" s="23" t="str">
        <x:v>aleabitoreddit</x:v>
      </x:c>
      <x:c r="E287" s="23" t="str">
        <x:v>neutral</x:v>
      </x:c>
      <x:c r="F287" s="34" t="n">
        <x:v>0.5</x:v>
      </x:c>
      <x:c r="G287" s="23" t="str">
        <x:v>needs_review</x:v>
      </x:c>
      <x:c r="H287" s="23" t="str">
        <x:v>stance</x:v>
      </x:c>
      <x:c r="I287" s="23" t="str">
        <x:v>unclear</x:v>
      </x:c>
      <x:c r="J287" s="23" t="str">
        <x:v>other</x:v>
      </x:c>
      <x:c r="K287" s="50"/>
      <x:c r="L287" s="50" t="str">
        <x:v>$AXTI secured LTA with $COHR earlier, with a $22.3M reservation payment.
As well as a LTA with $LITE today, totaling $87M ($43.5M + $43.5M) again to reserve capacity. 
Considering that these are both of the two leading optical players, seems positive. 
The actual details such as pricing of the contracts aren't known, so we'll find out more.</x:v>
      </x:c>
      <x:c r="M287" s="65" t="str">
        <x:v>https://x.com/aleabitoreddit/status/2082582144359219284</x:v>
      </x:c>
      <x:c r="N287" s="23" t="str">
        <x:v>제외</x:v>
      </x:c>
    </x:row>
    <x:row r="288" ht="60" customHeight="1">
      <x:c r="A288" s="23" t="n">
        <x:v>2449</x:v>
      </x:c>
      <x:c r="B288" s="23" t="str">
        <x:v>LITE</x:v>
      </x:c>
      <x:c r="C288" s="53" t="n">
        <x:v>46232.90335648148</x:v>
      </x:c>
      <x:c r="D288" s="23" t="str">
        <x:v>aleabitoreddit</x:v>
      </x:c>
      <x:c r="E288" s="23" t="str">
        <x:v>neutral</x:v>
      </x:c>
      <x:c r="F288" s="34" t="n">
        <x:v>0.5</x:v>
      </x:c>
      <x:c r="G288" s="23" t="str">
        <x:v>needs_review</x:v>
      </x:c>
      <x:c r="H288" s="23" t="str">
        <x:v>stance</x:v>
      </x:c>
      <x:c r="I288" s="23" t="str">
        <x:v>unclear</x:v>
      </x:c>
      <x:c r="J288" s="23" t="str">
        <x:v>other</x:v>
      </x:c>
      <x:c r="K288" s="50"/>
      <x:c r="L288" s="50" t="str">
        <x:v>$AXTI secured LTA with $COHR earlier, with a $22.3M reservation payment.
As well as a LTA with $LITE today, totaling $87M ($43.5M + $43.5M) again to reserve capacity. 
Considering that these are both of the two leading optical players, seems positive. 
The actual details such as pricing of the contracts aren't known, so we'll find out more.</x:v>
      </x:c>
      <x:c r="M288" s="65" t="str">
        <x:v>https://x.com/aleabitoreddit/status/2082582144359219284</x:v>
      </x:c>
      <x:c r="N288" s="23" t="str">
        <x:v>제외</x:v>
      </x:c>
    </x:row>
    <x:row r="289" ht="60" customHeight="1">
      <x:c r="A289" s="23" t="n">
        <x:v>2457</x:v>
      </x:c>
      <x:c r="B289" s="23" t="str">
        <x:v>NVDA</x:v>
      </x:c>
      <x:c r="C289" s="53" t="n">
        <x:v>46232.957453703704</x:v>
      </x:c>
      <x:c r="D289" s="23" t="str">
        <x:v>Beth_Kindig</x:v>
      </x:c>
      <x:c r="E289" s="23" t="str">
        <x:v>bullish</x:v>
      </x:c>
      <x:c r="F289" s="34" t="n">
        <x:v>0.8</x:v>
      </x:c>
      <x:c r="G289" s="23" t="str">
        <x:v>auto</x:v>
      </x:c>
      <x:c r="H289" s="23"/>
      <x:c r="I289" s="23" t="str">
        <x:v>first_mention</x:v>
      </x:c>
      <x:c r="J289" s="23" t="str">
        <x:v>growth</x:v>
      </x:c>
      <x:c r="K289" s="50" t="str">
        <x:v>토큰 처리량 70배 증가 전망이 여전히 낮을 수 있어 AI 인프라 수요가 더 클 것</x:v>
      </x:c>
      <x:c r="L289" s="50" t="str">
        <x:v>Goldman Sachs expects monthly token processing to rise from 1.7Q in 2025 to 120Q by 2030 - a 70X increase - with agentic AI driving more than 80% of demand. 
My analysis hitting inboxes Friday reveals why the 70X increase may still be too low. Link in bio.
$NVDA $GOOG $MSFT</x:v>
      </x:c>
      <x:c r="M289" s="65" t="str">
        <x:v>https://x.com/Beth_Kindig/status/2082601748170989925</x:v>
      </x:c>
      <x:c r="N289" s="23" t="str">
        <x:v>vote 변경</x:v>
      </x:c>
    </x:row>
    <x:row r="290" ht="60" customHeight="1">
      <x:c r="A290" s="23" t="n">
        <x:v>2473</x:v>
      </x:c>
      <x:c r="B290" s="23" t="str">
        <x:v>NVDA</x:v>
      </x:c>
      <x:c r="C290" s="53" t="n">
        <x:v>46232.99167824074</x:v>
      </x:c>
      <x:c r="D290" s="23" t="str">
        <x:v>StockMKTNewz</x:v>
      </x:c>
      <x:c r="E290" s="23" t="str">
        <x:v>neutral</x:v>
      </x:c>
      <x:c r="F290" s="34" t="n">
        <x:v>0.9</x:v>
      </x:c>
      <x:c r="G290" s="23" t="str">
        <x:v>auto</x:v>
      </x:c>
      <x:c r="H290" s="23"/>
      <x:c r="I290" s="23"/>
      <x:c r="J290" s="23" t="str">
        <x:v>other</x:v>
      </x:c>
      <x:c r="K290" s="50" t="str">
        <x:v>엔비디아가 애리조나에 공장을 건설하고 5000억 달러 규모의 공급망 구매를 약속했다는 사실적 보도</x:v>
      </x:c>
      <x:c r="L290" s="50" t="str">
        <x:v>Nvidia $NVDA CEO Jensen Huang with 🇺🇸 Department of Commerce chairmain Lutnick
“We’re building favs in Arizona, we’ve committed $500 Billion in purchases to the supply chain” https://t.co/DSWYf56n0e</x:v>
      </x:c>
      <x:c r="M290" s="65" t="str">
        <x:v>https://x.com/StockMKTNewz/status/2082614150857908402</x:v>
      </x:c>
      <x:c r="N290" s="23" t="str">
        <x:v>근거만</x:v>
      </x:c>
    </x:row>
    <x:row r="291" ht="60" customHeight="1">
      <x:c r="A291" s="23" t="n">
        <x:v>2484</x:v>
      </x:c>
      <x:c r="B291" s="23" t="str">
        <x:v>AAOI</x:v>
      </x:c>
      <x:c r="C291" s="53" t="n">
        <x:v>46233.31025462963</x:v>
      </x:c>
      <x:c r="D291" s="23" t="str">
        <x:v>aleabitoreddit</x:v>
      </x:c>
      <x:c r="E291" s="23" t="str">
        <x:v>bullish</x:v>
      </x:c>
      <x:c r="F291" s="34" t="n">
        <x:v>0.8</x:v>
      </x:c>
      <x:c r="G291" s="23" t="str">
        <x:v>auto</x:v>
      </x:c>
      <x:c r="H291" s="23"/>
      <x:c r="I291" s="23" t="str">
        <x:v>new_claim</x:v>
      </x:c>
      <x:c r="J291" s="23" t="str">
        <x:v>valuation</x:v>
      </x:c>
      <x:c r="K291" s="50" t="str">
        <x:v>AAOI는 연간 선행 매출 대비 시가총액이 1배에 근접하여 매우 저평가됨</x:v>
      </x:c>
      <x:c r="L291" s="50" t="str">
        <x:v>I don't think I (or anyone else) can accurately call the bottom. Otherwise they would just do weekly options if they knew. 
It's hard to see some of the names drop any lower though, like $AAOI is close to 1x annualized fwd revenue/MC.  
$POET dropped so much that it's roughly ~$800m cash to $1.08B MC. 
In general, even Leopond finds current valuations extremely attractive, so he's raising more to buy the drop. Who knows though?
But medium-long term, for my own thesis, I expect them to play out once revenue projections hit earnings. 
I've reiterated end of H1 2027 for $AAOI in terms of revenue inflection.... H4 2026 for $NBIS revenue inflection, and so on for my own ests. 
Of course, lot of volatility in between then.</x:v>
      </x:c>
      <x:c r="M291" s="65" t="str">
        <x:v>https://x.com/aleabitoreddit/status/2082729600875205078</x:v>
      </x:c>
      <x:c r="N291" s="23" t="str">
        <x:v>vote 변경</x:v>
      </x:c>
    </x:row>
    <x:row r="292" ht="60" customHeight="1">
      <x:c r="A292" s="23" t="n">
        <x:v>2519</x:v>
      </x:c>
      <x:c r="B292" s="23" t="str">
        <x:v>NVDA</x:v>
      </x:c>
      <x:c r="C292" s="53" t="n">
        <x:v>46233.50929398148</x:v>
      </x:c>
      <x:c r="D292" s="23" t="str">
        <x:v>StockSavvyShay</x:v>
      </x:c>
      <x:c r="E292" s="23" t="str">
        <x:v>neutral</x:v>
      </x:c>
      <x:c r="F292" s="34" t="n">
        <x:v>0.8</x:v>
      </x:c>
      <x:c r="G292" s="23" t="str">
        <x:v>auto</x:v>
      </x:c>
      <x:c r="H292" s="23"/>
      <x:c r="I292" s="23"/>
      <x:c r="J292" s="23" t="str">
        <x:v>valuation</x:v>
      </x:c>
      <x:c r="K292" s="50" t="str">
        <x:v>PEG 0.7x로 저평가 가능성</x:v>
      </x:c>
      <x:c r="L292" s="50" t="str">
        <x:v>POPULAR STOCKS BY PEG RATIO
PEG &lt; 1 usually means mispriced growth
PEG &gt; 2 starts to push into the danger zone
Here’s how they stack up:
• $TSLA 4.6x
• $AAPL 3.2x
• $PLTR 1.9x
• $META 1.6x
• $INTC 1.4x
• $HOOD 1.4x
• $AMZN 1.3x
• $MSFT 1.2x
• $NOW 1.2x
• $SPCX 1.0x
• $ASML 0.9x
• $SOFI 0.8x
• $TSM 0.7x
• $NVDA 0.7x
• $HIMS 0.7x
• $AMD 0.6x
• $AVGO 0.5x
• $ORCL 0.3x
• $SNDK 0.2x
• $MU 0.2x</x:v>
      </x:c>
      <x:c r="M292" s="65" t="str">
        <x:v>https://x.com/StockSavvyShay/status/2082801730648174787</x:v>
      </x:c>
      <x:c r="N292" s="23" t="str">
        <x:v>근거만</x:v>
      </x:c>
    </x:row>
    <x:row r="293" ht="60" customHeight="1">
      <x:c r="A293" s="23" t="n">
        <x:v>2537</x:v>
      </x:c>
      <x:c r="B293" s="23" t="str">
        <x:v>NVDA</x:v>
      </x:c>
      <x:c r="C293" s="53" t="n">
        <x:v>46233.55427083333</x:v>
      </x:c>
      <x:c r="D293" s="23" t="str">
        <x:v>StockSavvyShay</x:v>
      </x:c>
      <x:c r="E293" s="23" t="str">
        <x:v>neutral</x:v>
      </x:c>
      <x:c r="F293" s="34" t="n">
        <x:v>0.5</x:v>
      </x:c>
      <x:c r="G293" s="23" t="str">
        <x:v>needs_review</x:v>
      </x:c>
      <x:c r="H293" s="23" t="str">
        <x:v>stance</x:v>
      </x:c>
      <x:c r="I293" s="23" t="str">
        <x:v>first_mention</x:v>
      </x:c>
      <x:c r="J293" s="23" t="str">
        <x:v>other</x:v>
      </x:c>
      <x:c r="K293" s="50" t="str">
        <x:v>TSM의 기술 개발이 NVDA의 패키징 파트너 선택에 영향을 줄 수 있음</x:v>
      </x:c>
      <x:c r="L293" s="50" t="str">
        <x:v>$TSM is developing an “EMIB-like” packaging technology to counter $INTC as AI chip designs grow larger and CoWoS capacity remains constrained.
The move aims to keep customers like $NVDA and $GOOGL from shifting more advanced packaging work to Intel. https://t.co/9f6yRkKLp0</x:v>
      </x:c>
      <x:c r="M293" s="65" t="str">
        <x:v>https://x.com/StockSavvyShay/status/2082818028614598841</x:v>
      </x:c>
      <x:c r="N293" s="23" t="str">
        <x:v>제외</x:v>
      </x:c>
    </x:row>
    <x:row r="294" ht="60" customHeight="1">
      <x:c r="A294" s="23" t="n">
        <x:v>2582</x:v>
      </x:c>
      <x:c r="B294" s="23" t="str">
        <x:v>NVDA</x:v>
      </x:c>
      <x:c r="C294" s="53" t="n">
        <x:v>46233.73502314815</x:v>
      </x:c>
      <x:c r="D294" s="23" t="str">
        <x:v>StockSavvyShay</x:v>
      </x:c>
      <x:c r="E294" s="23" t="str">
        <x:v>bullish</x:v>
      </x:c>
      <x:c r="F294" s="34" t="n">
        <x:v>0.8</x:v>
      </x:c>
      <x:c r="G294" s="23" t="str">
        <x:v>auto</x:v>
      </x:c>
      <x:c r="H294" s="23"/>
      <x:c r="I294" s="23" t="str">
        <x:v>first_mention</x:v>
      </x:c>
      <x:c r="J294" s="23" t="str">
        <x:v>positioning</x:v>
      </x:c>
      <x:c r="K294" s="50" t="str">
        <x:v>NVDA가 190달러 아래로 떨어진 것은 시장 혼란 속에서 매수 기회였다.</x:v>
      </x:c>
      <x:c r="L294" s="50" t="str">
        <x:v>@FuturumEquities @danielnewmanUV There were dislocations everywhere.. truly wild to see $NVDA under $190 at one point</x:v>
      </x:c>
      <x:c r="M294" s="65" t="str">
        <x:v>https://x.com/StockSavvyShay/status/2082883531349586030</x:v>
      </x:c>
      <x:c r="N294" s="23" t="str">
        <x:v>vote 변경</x:v>
      </x:c>
    </x:row>
    <x:row r="295" ht="60" customHeight="1">
      <x:c r="A295" s="23" t="n">
        <x:v>2585</x:v>
      </x:c>
      <x:c r="B295" s="23" t="str">
        <x:v>NVDA</x:v>
      </x:c>
      <x:c r="C295" s="53" t="n">
        <x:v>46233.73793981481</x:v>
      </x:c>
      <x:c r="D295" s="23" t="str">
        <x:v>Beth_Kindig</x:v>
      </x:c>
      <x:c r="E295" s="23" t="str">
        <x:v>bullish</x:v>
      </x:c>
      <x:c r="F295" s="34" t="n">
        <x:v>0.7</x:v>
      </x:c>
      <x:c r="G295" s="23" t="str">
        <x:v>needs_review</x:v>
      </x:c>
      <x:c r="H295" s="23" t="str">
        <x:v>stance</x:v>
      </x:c>
      <x:c r="I295" s="23" t="str">
        <x:v>first_mention</x:v>
      </x:c>
      <x:c r="J295" s="23" t="str">
        <x:v>growth</x:v>
      </x:c>
      <x:c r="K295" s="50" t="str">
        <x:v>구글의 AI 토큰 소비 급증은 엔비디아 GPU 수요 증가로 이어져 긍정적</x:v>
      </x:c>
      <x:c r="L295" s="50" t="str">
        <x:v>Google has seen AI token consumption rise 330X in two years, while some of the more bullish forecasts project a 70X increase in token consumption by 2030 – and that 70X figure already appears too low. 
Here’s why⬇️
https://t.co/urSDxMjuD0 
$GOOG $NVDA</x:v>
      </x:c>
      <x:c r="M295" s="65" t="str">
        <x:v>https://x.com/Beth_Kindig/status/2082884587370226125</x:v>
      </x:c>
      <x:c r="N295" s="23" t="str">
        <x:v>제외</x:v>
      </x:c>
    </x:row>
    <x:row r="296" ht="60" customHeight="1">
      <x:c r="A296" s="23" t="n">
        <x:v>2603</x:v>
      </x:c>
      <x:c r="B296" s="23" t="str">
        <x:v>NVDA</x:v>
      </x:c>
      <x:c r="C296" s="53" t="n">
        <x:v>46233.84525462963</x:v>
      </x:c>
      <x:c r="D296" s="23" t="str">
        <x:v>StockSavvyShay</x:v>
      </x:c>
      <x:c r="E296" s="23" t="str">
        <x:v>bearish</x:v>
      </x:c>
      <x:c r="F296" s="34" t="n">
        <x:v>1</x:v>
      </x:c>
      <x:c r="G296" s="23" t="str">
        <x:v>auto</x:v>
      </x:c>
      <x:c r="H296" s="23"/>
      <x:c r="I296" s="23" t="str">
        <x:v>first_mention</x:v>
      </x:c>
      <x:c r="J296" s="23" t="str">
        <x:v>positioning</x:v>
      </x:c>
      <x:c r="K296" s="50" t="str">
        <x:v>Michael Burry가 NVDA 숏 포지션을 추가했다.</x:v>
      </x:c>
      <x:c r="L296" s="50" t="str">
        <x:v>Michael Burry says he added to his $MU and $NVDA short positions today. https://t.co/prZNnfeQ8w</x:v>
      </x:c>
      <x:c r="M296" s="65" t="str">
        <x:v>https://x.com/StockSavvyShay/status/2082923477057830954</x:v>
      </x:c>
      <x:c r="N296" s="23" t="str">
        <x:v>vote 변경</x:v>
      </x:c>
    </x:row>
    <x:row r="297" ht="60" customHeight="1">
      <x:c r="A297" s="23" t="n">
        <x:v>2652</x:v>
      </x:c>
      <x:c r="B297" s="23" t="str">
        <x:v>COHR</x:v>
      </x:c>
      <x:c r="C297" s="53" t="n">
        <x:v>46234.30165509259</x:v>
      </x:c>
      <x:c r="D297" s="23" t="str">
        <x:v>aleabitoreddit</x:v>
      </x:c>
      <x:c r="E297" s="23" t="str">
        <x:v>neutral</x:v>
      </x:c>
      <x:c r="F297" s="34" t="n">
        <x:v>0.5</x:v>
      </x:c>
      <x:c r="G297" s="23" t="str">
        <x:v>needs_review</x:v>
      </x:c>
      <x:c r="H297" s="23" t="str">
        <x:v>stance</x:v>
      </x:c>
      <x:c r="I297" s="23" t="str">
        <x:v>first_mention</x:v>
      </x:c>
      <x:c r="J297" s="23" t="str">
        <x:v>other</x:v>
      </x:c>
      <x:c r="K297" s="50" t="str">
        <x:v>Coherent와의 계약은 Q2 실적에 크게 기여하지 않았지만, 작성자의 명시적 평가는 없음</x:v>
      </x:c>
      <x:c r="L297" s="50" t="str">
        <x:v>Few earnings TLDRs with my favorite $AXTI and $AMZN:
Amazon:
- Raised 2026 capex to $220B vs. prior $200B (partly due to higher memory costs, which is bullish on $MU to Samsung) 
- Even at $220B, Amazon will not have enough capacity to meet all 2026 demand; Jassy expects the same in 2027.
- Most incoming 2027 capacity is already reserved, with substantial 2028 capacity also reserved.
Mostly read through on upstream semis. $GOOGL, $META, $AMZN, and $MSFT all identified compute shortage. 
All the narratives a few weeks earlier was "excess compute" from Meta and others + hyperscalers cutting back on spend... All BS. 
Amazon earnings was very bullish on AI semi trade. 
AXTI:
- AXT to double InP capacity during 2026. Then double again in 2027. 
This is expected to make AXT "by far the largest indium phosphide producer in the world." - LFG
- Q2 rev was $47.6M, the highest quarterly revenue in AXT history (InP revenue reached a record $30.7M, from DC applications.)
- Revenue increased 77% sequentially and 164% year over year.
- InP revenue-capacity targets: $60M per quarter exiting 2026.
- $130M per quarter exiting 2027 
That $130m target could be hiked too since management stated they find "whatever ways to increase that capacity expansion"
- Management said the reported backlog remains well above $100M, but that number no longer reflects all available demand.
"Customer demand continues to outpace supply, no matter how fast we add capacity." 800G/1.6T is driving the current cycle, while NPO/CPO extends it beyond 2027. 
Also they're targeting 50%-plus gross margin: "We should definitely be targeting a number that begins with a five."
China demand more than doubled, and their agreements with Casela, $COHR and $LITE did not materially drive Q2. 
This is not even considering my projected massive ASP hikes yet as InP substrates get more bottlenecked. 
TLDR:
- Amazon too much compute demands, needs capex to fufill it, so upstream semis go brrr. 
- AXT world largest InP substrate supplier, high gross margins, expansion, and supply can't keep up with demand.  
Bullish on demand side from Amazon + capex. Bullish on upstream optical supply chains from too much demand.</x:v>
      </x:c>
      <x:c r="M297" s="65" t="str">
        <x:v>https://x.com/aleabitoreddit/status/2083088870942642391</x:v>
      </x:c>
      <x:c r="N297" s="23" t="str">
        <x:v>제외</x:v>
      </x:c>
    </x:row>
    <x:row r="298" ht="60" customHeight="1">
      <x:c r="A298" s="23" t="n">
        <x:v>2653</x:v>
      </x:c>
      <x:c r="B298" s="23" t="str">
        <x:v>LITE</x:v>
      </x:c>
      <x:c r="C298" s="53" t="n">
        <x:v>46234.30165509259</x:v>
      </x:c>
      <x:c r="D298" s="23" t="str">
        <x:v>aleabitoreddit</x:v>
      </x:c>
      <x:c r="E298" s="23" t="str">
        <x:v>neutral</x:v>
      </x:c>
      <x:c r="F298" s="34" t="n">
        <x:v>0.5</x:v>
      </x:c>
      <x:c r="G298" s="23" t="str">
        <x:v>needs_review</x:v>
      </x:c>
      <x:c r="H298" s="23" t="str">
        <x:v>stance</x:v>
      </x:c>
      <x:c r="I298" s="23" t="str">
        <x:v>first_mention</x:v>
      </x:c>
      <x:c r="J298" s="23" t="str">
        <x:v>other</x:v>
      </x:c>
      <x:c r="K298" s="50" t="str">
        <x:v>Lumentum과의 계약은 Q2 실적에 크게 기여하지 않았지만, 작성자의 명시적 평가는 없음</x:v>
      </x:c>
      <x:c r="L298" s="50" t="str">
        <x:v>Few earnings TLDRs with my favorite $AXTI and $AMZN:
Amazon:
- Raised 2026 capex to $220B vs. prior $200B (partly due to higher memory costs, which is bullish on $MU to Samsung) 
- Even at $220B, Amazon will not have enough capacity to meet all 2026 demand; Jassy expects the same in 2027.
- Most incoming 2027 capacity is already reserved, with substantial 2028 capacity also reserved.
Mostly read through on upstream semis. $GOOGL, $META, $AMZN, and $MSFT all identified compute shortage. 
All the narratives a few weeks earlier was "excess compute" from Meta and others + hyperscalers cutting back on spend... All BS. 
Amazon earnings was very bullish on AI semi trade. 
AXTI:
- AXT to double InP capacity during 2026. Then double again in 2027. 
This is expected to make AXT "by far the largest indium phosphide producer in the world." - LFG
- Q2 rev was $47.6M, the highest quarterly revenue in AXT history (InP revenue reached a record $30.7M, from DC applications.)
- Revenue increased 77% sequentially and 164% year over year.
- InP revenue-capacity targets: $60M per quarter exiting 2026.
- $130M per quarter exiting 2027 
That $130m target could be hiked too since management stated they find "whatever ways to increase that capacity expansion"
- Management said the reported backlog remains well above $100M, but that number no longer reflects all available demand.
"Customer demand continues to outpace supply, no matter how fast we add capacity." 800G/1.6T is driving the current cycle, while NPO/CPO extends it beyond 2027. 
Also they're targeting 50%-plus gross margin: "We should definitely be targeting a number that begins with a five."
China demand more than doubled, and their agreements with Casela, $COHR and $LITE did not materially drive Q2. 
This is not even considering my projected massive ASP hikes yet as InP substrates get more bottlenecked. 
TLDR:
- Amazon too much compute demands, needs capex to fufill it, so upstream semis go brrr. 
- AXT world largest InP substrate supplier, high gross margins, expansion, and supply can't keep up with demand.  
Bullish on demand side from Amazon + capex. Bullish on upstream optical supply chains from too much demand.</x:v>
      </x:c>
      <x:c r="M298" s="65" t="str">
        <x:v>https://x.com/aleabitoreddit/status/2083088870942642391</x:v>
      </x:c>
      <x:c r="N298" s="23" t="str">
        <x:v>제외</x:v>
      </x:c>
    </x:row>
    <x:row r="299" ht="60" customHeight="1">
      <x:c r="A299" s="23" t="n">
        <x:v>2687</x:v>
      </x:c>
      <x:c r="B299" s="23" t="str">
        <x:v>NVDA</x:v>
      </x:c>
      <x:c r="C299" s="53" t="n">
        <x:v>46234.51650462963</x:v>
      </x:c>
      <x:c r="D299" s="23" t="str">
        <x:v>StockMKTNewz</x:v>
      </x:c>
      <x:c r="E299" s="23" t="str">
        <x:v>neutral</x:v>
      </x:c>
      <x:c r="F299" s="34" t="n">
        <x:v>0.8</x:v>
      </x:c>
      <x:c r="G299" s="23" t="str">
        <x:v>auto</x:v>
      </x:c>
      <x:c r="H299" s="23"/>
      <x:c r="I299" s="23" t="str">
        <x:v>first_mention</x:v>
      </x:c>
      <x:c r="J299" s="23" t="str">
        <x:v>catalyst</x:v>
      </x:c>
      <x:c r="K299" s="50" t="str">
        <x:v>Moonshot의 Kimi K3 AI 모델이 20,000개의 NVIDIA 칩 클러스터로 구축되었다는 보도는 NVIDIA의 AI 칩 수요를 보여주는 사례로, 향후 매출에 긍정적 요인으로 작용할 수 있음.</x:v>
      </x:c>
      <x:c r="L299" s="50" t="str">
        <x:v>MOONSHOT'S KIMI K3 AI MODEL WAS REPORTEDLY BUILT ON A 20,000 NVIDIA $NVDA CHIP CLUSTER VIA ALIBABA - Bloomberg https://t.co/6sh1es9u7t</x:v>
      </x:c>
      <x:c r="M299" s="65" t="str">
        <x:v>https://x.com/StockMKTNewz/status/2083166730193437040</x:v>
      </x:c>
      <x:c r="N299" s="23" t="str">
        <x:v>근거만</x:v>
      </x:c>
    </x:row>
    <x:row r="300" ht="60" customHeight="1">
      <x:c r="A300" s="23" t="n">
        <x:v>2682</x:v>
      </x:c>
      <x:c r="B300" s="23" t="str">
        <x:v>NVDA</x:v>
      </x:c>
      <x:c r="C300" s="53" t="n">
        <x:v>46234.51851851852</x:v>
      </x:c>
      <x:c r="D300" s="23" t="str">
        <x:v>StockSavvyShay</x:v>
      </x:c>
      <x:c r="E300" s="23" t="str">
        <x:v>neutral</x:v>
      </x:c>
      <x:c r="F300" s="34" t="n">
        <x:v>0.5</x:v>
      </x:c>
      <x:c r="G300" s="23" t="str">
        <x:v>needs_review</x:v>
      </x:c>
      <x:c r="H300" s="23" t="str">
        <x:v>stance</x:v>
      </x:c>
      <x:c r="I300" s="23"/>
      <x:c r="J300" s="23" t="str">
        <x:v>other</x:v>
      </x:c>
      <x:c r="K300" s="50"/>
      <x:c r="L300" s="50" t="str">
        <x:v>MOONSHOT’S KIMI K3 WAS REPORTEDLY TRAINED ON 20K $NVDA CHIPS THROUGH $BABA https://t.co/yhTuUftoEM</x:v>
      </x:c>
      <x:c r="M300" s="65" t="str">
        <x:v>https://x.com/StockSavvyShay/status/2083167459587260724</x:v>
      </x:c>
      <x:c r="N300" s="23" t="str">
        <x:v>제외</x:v>
      </x:c>
    </x:row>
    <x:row r="301" ht="60" customHeight="1">
      <x:c r="A301" s="23" t="n">
        <x:v>2686</x:v>
      </x:c>
      <x:c r="B301" s="23" t="str">
        <x:v>NVDA</x:v>
      </x:c>
      <x:c r="C301" s="53" t="n">
        <x:v>46234.52384259259</x:v>
      </x:c>
      <x:c r="D301" s="23" t="str">
        <x:v>StockSavvyShay</x:v>
      </x:c>
      <x:c r="E301" s="23" t="str">
        <x:v>bullish</x:v>
      </x:c>
      <x:c r="F301" s="34" t="n">
        <x:v>0.9</x:v>
      </x:c>
      <x:c r="G301" s="23" t="str">
        <x:v>auto</x:v>
      </x:c>
      <x:c r="H301" s="23"/>
      <x:c r="I301" s="23" t="str">
        <x:v>first_mention</x:v>
      </x:c>
      <x:c r="J301" s="23" t="str">
        <x:v>thesis</x:v>
      </x:c>
      <x:c r="K301" s="50" t="str">
        <x:v>Kimi K3가 제한된 컴퓨팅 환경에 맞게 재설계되었음에도 불구하고 여전히 NVDA 칩에 의존하고 있으며, 이는 NVDA에 대한 강력한 수요를 입증한다.</x:v>
      </x:c>
      <x:c r="L301" s="50" t="str">
        <x:v>@VanquishTrader This is super bullish for $NVDA because even after redesigning Kimi K3 around limited compute it still depended on their chips and quickly ran into serving constraints.</x:v>
      </x:c>
      <x:c r="M301" s="65" t="str">
        <x:v>https://x.com/StockSavvyShay/status/2083169390888100221</x:v>
      </x:c>
      <x:c r="N301" s="23" t="str">
        <x:v>vote 변경</x:v>
      </x:c>
    </x:row>
    <x:row r="302" ht="60" customHeight="1">
      <x:c r="A302" s="23" t="n">
        <x:v>2688</x:v>
      </x:c>
      <x:c r="B302" s="23" t="str">
        <x:v>NVDA</x:v>
      </x:c>
      <x:c r="C302" s="53" t="n">
        <x:v>46234.5381712963</x:v>
      </x:c>
      <x:c r="D302" s="23" t="str">
        <x:v>StockSavvyShay</x:v>
      </x:c>
      <x:c r="E302" s="23" t="str">
        <x:v>bullish</x:v>
      </x:c>
      <x:c r="F302" s="34" t="n">
        <x:v>0.8</x:v>
      </x:c>
      <x:c r="G302" s="23" t="str">
        <x:v>auto</x:v>
      </x:c>
      <x:c r="H302" s="23"/>
      <x:c r="I302" s="23" t="str">
        <x:v>first_mention</x:v>
      </x:c>
      <x:c r="J302" s="23" t="str">
        <x:v>growth</x:v>
      </x:c>
      <x:c r="K302" s="50" t="str">
        <x:v>더 나은 AI 모델은 사용량을 증가시켜 궁극적으로 더 많은 훈련 및 추론 수요를 창출하며, 이는 NVDA 칩 수요를 증가시킨다.</x:v>
      </x:c>
      <x:c r="L302" s="50" t="str">
        <x:v>Moonshot AI designed Kimi K3 (2.8T-parameter frontier model) to use less compute and move less data between servers after it couldn't assemble one coherent training cluster.
Even after rebuilding around limited capacity, it trained on $NVDA chips accessed through at least two Chinese cloud providers, runs inference on H20s and recommends at least 64 chips to host the model.
Then it closed new subscriptions within 48 hours after running out of serving capacity reinforcing that better models lower the cost per task but unlock far more usage and ultimately drive more training and inference demand.</x:v>
      </x:c>
      <x:c r="M302" s="65" t="str">
        <x:v>https://x.com/StockSavvyShay/status/2083174582496919689</x:v>
      </x:c>
      <x:c r="N302" s="23" t="str">
        <x:v>vote 변경</x:v>
      </x:c>
    </x:row>
    <x:row r="303" ht="60" customHeight="1">
      <x:c r="A303" s="23" t="n">
        <x:v>2694</x:v>
      </x:c>
      <x:c r="B303" s="23" t="str">
        <x:v>NVDA</x:v>
      </x:c>
      <x:c r="C303" s="53" t="n">
        <x:v>46234.59465277778</x:v>
      </x:c>
      <x:c r="D303" s="23" t="str">
        <x:v>StockMKTNewz</x:v>
      </x:c>
      <x:c r="E303" s="23" t="str">
        <x:v>neutral</x:v>
      </x:c>
      <x:c r="F303" s="34" t="n">
        <x:v>0.8</x:v>
      </x:c>
      <x:c r="G303" s="23" t="str">
        <x:v>auto</x:v>
      </x:c>
      <x:c r="H303" s="23"/>
      <x:c r="I303" s="23"/>
      <x:c r="J303" s="23" t="str">
        <x:v>other</x:v>
      </x:c>
      <x:c r="K303" s="50" t="str">
        <x:v>NVIDIA가 다시 세계에서 가장 큰 시가총액을 가진 회사가 되었다.</x:v>
      </x:c>
      <x:c r="L303" s="50" t="str">
        <x:v>NVIDIA $NVDA IS BACK TO BEING THE LARGEST COMPANY IN THE WORLD
Nvidia is back to having a larger market cap than Apple $AAPL and has reclaimed its spot as the largest public company in the world https://t.co/RTDOCjdati</x:v>
      </x:c>
      <x:c r="M303" s="65" t="str">
        <x:v>https://x.com/StockMKTNewz/status/2083195048548540621</x:v>
      </x:c>
      <x:c r="N303" s="23" t="str">
        <x:v>근거만</x:v>
      </x:c>
    </x:row>
    <x:row r="304" ht="60" customHeight="1">
      <x:c r="A304" s="23" t="n">
        <x:v>2707</x:v>
      </x:c>
      <x:c r="B304" s="23" t="str">
        <x:v>NVDA</x:v>
      </x:c>
      <x:c r="C304" s="53" t="n">
        <x:v>46234.68331018519</x:v>
      </x:c>
      <x:c r="D304" s="23" t="str">
        <x:v>Beth_Kindig</x:v>
      </x:c>
      <x:c r="E304" s="23" t="str">
        <x:v>bullish</x:v>
      </x:c>
      <x:c r="F304" s="34" t="n">
        <x:v>0.6</x:v>
      </x:c>
      <x:c r="G304" s="23" t="str">
        <x:v>needs_review</x:v>
      </x:c>
      <x:c r="H304" s="23" t="str">
        <x:v>stance</x:v>
      </x:c>
      <x:c r="I304" s="23" t="str">
        <x:v>unclear</x:v>
      </x:c>
      <x:c r="J304" s="23" t="str">
        <x:v>growth</x:v>
      </x:c>
      <x:c r="K304" s="50" t="str">
        <x:v>토큰 사용량 폭증으로 AI 인프라 수요가 증가하여 엔비디아에 긍정적</x:v>
      </x:c>
      <x:c r="L304" s="50" t="str">
        <x:v>Aggregate annual token processing is no longer measured in billions or trillions of tokens, but in the quadrillions and quintillions. 
One key networking market is now expected to grow from $100M in 2025 to $39B by 2030 - a 390X increase in five years. 
Our latest analysis examines the additional beneficiaries of the token usage boom. 
https://t.co/eVY0vi1BAA
$NVDA $GOOG $AMZN</x:v>
      </x:c>
      <x:c r="M304" s="65" t="str">
        <x:v>https://x.com/Beth_Kindig/status/2083227176648818717</x:v>
      </x:c>
      <x:c r="N304" s="23" t="str">
        <x:v>제외</x:v>
      </x:c>
    </x:row>
    <x:row r="305" ht="60" customHeight="1">
      <x:c r="A305" s="23" t="n">
        <x:v>2715</x:v>
      </x:c>
      <x:c r="B305" s="23" t="str">
        <x:v>ASTS</x:v>
      </x:c>
      <x:c r="C305" s="53" t="n">
        <x:v>46234.739340277774</x:v>
      </x:c>
      <x:c r="D305" s="23" t="str">
        <x:v>StockSavvyShay</x:v>
      </x:c>
      <x:c r="E305" s="23" t="str">
        <x:v>bullish</x:v>
      </x:c>
      <x:c r="F305" s="34" t="n">
        <x:v>0.7</x:v>
      </x:c>
      <x:c r="G305" s="23" t="str">
        <x:v>needs_review</x:v>
      </x:c>
      <x:c r="H305" s="23" t="str">
        <x:v>stance</x:v>
      </x:c>
      <x:c r="I305" s="23" t="str">
        <x:v>first_mention</x:v>
      </x:c>
      <x:c r="J305" s="23" t="str">
        <x:v>catalyst</x:v>
      </x:c>
      <x:c r="K305" s="50" t="str">
        <x:v>BlueBird 위성 발사와 생산 확대가 순조롭게 진행되어 회사의 직접 스마트폰 광대역 별자리 구축이 가속화되고 있다.</x:v>
      </x:c>
      <x:c r="L305" s="50" t="str">
        <x:v>$ASTS BlueBirds 11, 12 and 13 are stacked for their August 5 launch with BlueBirds 14, 15 and 16 set to follow shortly after.
Production has already advanced through BlueBird 42 as the company scales its Texas-built direct-to-smartphone broadband constellation. https://t.co/vJGoxAwh50</x:v>
      </x:c>
      <x:c r="M305" s="65" t="str">
        <x:v>https://x.com/StockSavvyShay/status/2083247484047098200</x:v>
      </x:c>
      <x:c r="N305" s="23" t="str">
        <x:v>제외</x:v>
      </x:c>
    </x:row>
    <x:row r="306" ht="60" customHeight="1">
      <x:c r="A306" s="23" t="n">
        <x:v>2718</x:v>
      </x:c>
      <x:c r="B306" s="23" t="str">
        <x:v>ASTS</x:v>
      </x:c>
      <x:c r="C306" s="53" t="n">
        <x:v>46234.742430555554</x:v>
      </x:c>
      <x:c r="D306" s="23" t="str">
        <x:v>StockSavvyShay</x:v>
      </x:c>
      <x:c r="E306" s="23" t="str">
        <x:v>neutral</x:v>
      </x:c>
      <x:c r="F306" s="34" t="n">
        <x:v>0.8</x:v>
      </x:c>
      <x:c r="G306" s="23" t="str">
        <x:v>auto</x:v>
      </x:c>
      <x:c r="H306" s="23"/>
      <x:c r="I306" s="23" t="str">
        <x:v>first_mention</x:v>
      </x:c>
      <x:c r="J306" s="23" t="str">
        <x:v>catalyst</x:v>
      </x:c>
      <x:c r="K306" s="50" t="str">
        <x:v>BlueBird 위성 발사 일정과 생산 확장이 회사의 성장 촉매로 작용할 수 있음</x:v>
      </x:c>
      <x:c r="L306" s="50" t="str">
        <x:v>$ASTS BlueBirds 11, 12 and 13 are stacked for their August 5 launch with BlueBirds 14, 15 and 16 set to follow shortly after.
Production has already advanced through BlueBird 42 as AST scales its Texas-built direct-to-smartphone broadband constellation. https://t.co/O2qT9Zdme8</x:v>
      </x:c>
      <x:c r="M306" s="65" t="str">
        <x:v>https://x.com/StockSavvyShay/status/2083248602961658246</x:v>
      </x:c>
      <x:c r="N306" s="23" t="str">
        <x:v>근거만</x:v>
      </x:c>
    </x:row>
    <x:row r="307" ht="60" customHeight="1">
      <x:c r="A307" s="23" t="n">
        <x:v>2726</x:v>
      </x:c>
      <x:c r="B307" s="23" t="str">
        <x:v>NVDA</x:v>
      </x:c>
      <x:c r="C307" s="53" t="n">
        <x:v>46234.80297453704</x:v>
      </x:c>
      <x:c r="D307" s="23" t="str">
        <x:v>aleabitoreddit</x:v>
      </x:c>
      <x:c r="E307" s="23" t="str">
        <x:v>bullish</x:v>
      </x:c>
      <x:c r="F307" s="34" t="n">
        <x:v>0.8</x:v>
      </x:c>
      <x:c r="G307" s="23" t="str">
        <x:v>auto</x:v>
      </x:c>
      <x:c r="H307" s="23"/>
      <x:c r="I307" s="23" t="str">
        <x:v>repeat</x:v>
      </x:c>
      <x:c r="J307" s="23" t="str">
        <x:v>thesis</x:v>
      </x:c>
      <x:c r="K307" s="50" t="str">
        <x:v>엔비디아 GPU는 AI 자본 지출 흐름의 수혜 사례로, 상류 공급망 기업들의 재평가를 이끄는 선례임.</x:v>
      </x:c>
      <x:c r="L307" s="50" t="str">
        <x:v>As a earnings recap: $AMZN, $META, $GOOGL, and $MSFT guided a 2026 combined capex forecast to ~$720-$745 Billion.
Up from $695-$725B Billion previously.
Amazon: $220B
Google: $195B-$205B
Meta: $130B-$145B
Microsoft: $175B
We've already seen significant deleveraging and retail/institutional margin liquidations (maybe it continues for more time, who knows). 
But medium-long term, I'm not quite sure how anyone can be bearish the upstream semis or neoclouds. 
Given each hyperscaler has flagged either compute shortages, rising cloud demand + pricing power, or increased spending for chips/networking.  
My "bottleneck" thesis with many of these upstream semi supply chains is that when trillions in capital flows into things from InP substrates or memory (which were both treated as cheap commodities) or even energy. 
Lot of these current AI names that were treated as useless before in telecom cycles or even toilet sellers. 
Gets rerated when their inflection period hits and capex flows into their balance sheets. 
As seen with $NVDA GPUs past few years, memory this year, CPUs/MLCCs next few years, CPO in 2027, Glass Substrates in 2027, 800V in 2027, and so on.</x:v>
      </x:c>
      <x:c r="M307" s="65" t="str">
        <x:v>https://x.com/aleabitoreddit/status/2083270545320386734</x:v>
      </x:c>
      <x:c r="N307" s="23" t="str">
        <x:v>vote 변경</x:v>
      </x:c>
    </x:row>
    <x:row r="308" ht="60" customHeight="1">
      <x:c r="A308" s="23" t="n">
        <x:v>2735</x:v>
      </x:c>
      <x:c r="B308" s="23" t="str">
        <x:v>NVDA</x:v>
      </x:c>
      <x:c r="C308" s="53" t="n">
        <x:v>46234.81375</x:v>
      </x:c>
      <x:c r="D308" s="23" t="str">
        <x:v>aleabitoreddit</x:v>
      </x:c>
      <x:c r="E308" s="23" t="str">
        <x:v>neutral</x:v>
      </x:c>
      <x:c r="F308" s="34" t="n">
        <x:v>0.8</x:v>
      </x:c>
      <x:c r="G308" s="23" t="str">
        <x:v>auto</x:v>
      </x:c>
      <x:c r="H308" s="23"/>
      <x:c r="I308" s="23"/>
      <x:c r="J308" s="23" t="str">
        <x:v>other</x:v>
      </x:c>
      <x:c r="K308" s="50" t="str">
        <x:v>AMKR과의 거래를 언급하며, 이는 AMKR의 촉매로 언급됨.</x:v>
      </x:c>
      <x:c r="L308" s="50" t="str">
        <x:v>Hmm, I personally added $AMKR in the $40's since I thought it was surprising it dropped that much after ER, even after $NVDA $1.5B deal + $TSM 10Y agreement. 
It's more of a 2028 name though, though they have separate ramps in 2027. 
- Did some cost averaging on names like Foci on drop to 400 (leading FAU supplier to $TSM COUPE + $NVDA, COUPE shows signs of ramp now from other ERs like $FORM).  Added some $XFAB too after earnings since they verified CPO + 800V exposure, might be a bit of waiting though.
Added $LPK on the 13 EU doomdrop, GCS isn't going anywhere, think volume ramp just got delayed a quarter because of Absolics delay and I'm fine waiting 3 months. CoPoS, Samsung, and others should drive demand more in 2027. 
And added OE Solutions on drop to ~14,000 KRW, thought it was strange Korea's leading EML company with independent InP fabs was only worth ~$110M MC. 
-  Names like Win Semi + others are really really compelling to me but just dont have enough capital to add sadly without going on heavy margin. 
Probably want to scale into $SIVE and $AAOI more since those are my two favorites.
And looking at $CCXI opportunities given Unitree IPO is around 3 weeks, that listing should boost humanoid/robotics sector a bit similar to the $SPCX halo effect. 
TLDR: Just moving capital around, my own personal risk management. Same names as before.</x:v>
      </x:c>
      <x:c r="M308" s="65" t="str">
        <x:v>https://x.com/aleabitoreddit/status/2083274448845906083</x:v>
      </x:c>
      <x:c r="N308" s="23" t="str">
        <x:v>근거만</x:v>
      </x:c>
    </x:row>
    <x:row r="309" ht="60" customHeight="1">
      <x:c r="A309" s="23" t="n">
        <x:v>2741</x:v>
      </x:c>
      <x:c r="B309" s="23" t="str">
        <x:v>AAOI</x:v>
      </x:c>
      <x:c r="C309" s="53" t="n">
        <x:v>46234.81375</x:v>
      </x:c>
      <x:c r="D309" s="23" t="str">
        <x:v>aleabitoreddit</x:v>
      </x:c>
      <x:c r="E309" s="23" t="str">
        <x:v>bullish</x:v>
      </x:c>
      <x:c r="F309" s="34" t="n">
        <x:v>0.9</x:v>
      </x:c>
      <x:c r="G309" s="23" t="str">
        <x:v>auto</x:v>
      </x:c>
      <x:c r="H309" s="23"/>
      <x:c r="I309" s="23" t="str">
        <x:v>repeat</x:v>
      </x:c>
      <x:c r="J309" s="23" t="str">
        <x:v>positioning</x:v>
      </x:c>
      <x:c r="K309" s="50" t="str">
        <x:v>작성자는 AAOI를 자신의 두 가지 선호 종목 중 하나로 언급하며 더 확대하고 싶다고 함.</x:v>
      </x:c>
      <x:c r="L309" s="50" t="str">
        <x:v>Hmm, I personally added $AMKR in the $40's since I thought it was surprising it dropped that much after ER, even after $NVDA $1.5B deal + $TSM 10Y agreement. 
It's more of a 2028 name though, though they have separate ramps in 2027. 
- Did some cost averaging on names like Foci on drop to 400 (leading FAU supplier to $TSM COUPE + $NVDA, COUPE shows signs of ramp now from other ERs like $FORM).  Added some $XFAB too after earnings since they verified CPO + 800V exposure, might be a bit of waiting though.
Added $LPK on the 13 EU doomdrop, GCS isn't going anywhere, think volume ramp just got delayed a quarter because of Absolics delay and I'm fine waiting 3 months. CoPoS, Samsung, and others should drive demand more in 2027. 
And added OE Solutions on drop to ~14,000 KRW, thought it was strange Korea's leading EML company with independent InP fabs was only worth ~$110M MC. 
-  Names like Win Semi + others are really really compelling to me but just dont have enough capital to add sadly without going on heavy margin. 
Probably want to scale into $SIVE and $AAOI more since those are my two favorites.
And looking at $CCXI opportunities given Unitree IPO is around 3 weeks, that listing should boost humanoid/robotics sector a bit similar to the $SPCX halo effect. 
TLDR: Just moving capital around, my own personal risk management. Same names as before.</x:v>
      </x:c>
      <x:c r="M309" s="65" t="str">
        <x:v>https://x.com/aleabitoreddit/status/2083274448845906083</x:v>
      </x:c>
      <x:c r="N309" s="23" t="str">
        <x:v>vote 변경</x:v>
      </x:c>
    </x:row>
    <x:row r="310" ht="60" customHeight="1">
      <x:c r="A310" s="23" t="n">
        <x:v>2747</x:v>
      </x:c>
      <x:c r="B310" s="23" t="str">
        <x:v>AAOI</x:v>
      </x:c>
      <x:c r="C310" s="53" t="n">
        <x:v>46234.83542824074</x:v>
      </x:c>
      <x:c r="D310" s="23" t="str">
        <x:v>aleabitoreddit</x:v>
      </x:c>
      <x:c r="E310" s="23" t="str">
        <x:v>bullish</x:v>
      </x:c>
      <x:c r="F310" s="34" t="n">
        <x:v>0.7</x:v>
      </x:c>
      <x:c r="G310" s="23" t="str">
        <x:v>needs_review</x:v>
      </x:c>
      <x:c r="H310" s="23" t="str">
        <x:v>stance</x:v>
      </x:c>
      <x:c r="I310" s="23"/>
      <x:c r="J310" s="23" t="str">
        <x:v>growth</x:v>
      </x:c>
      <x:c r="K310" s="50" t="str">
        <x:v>AAOI는 확정된 스케일아웃 물량을 가진 레이저 관련 종목으로 더 일찍 상승할 것</x:v>
      </x:c>
      <x:c r="L310" s="50" t="str">
        <x:v>Thesis is more for CPO scale up expecting complexity making make MSSCorp a monopoly-type chokepoint over inspection yields (they were claiming 90% market share target). Although they can be used for other segments. 
$FORM ramped a lot earlier, so maybe will revenue would start to appear in next earnings?  
Regardless, Asian names sold off extremely hard on CPO timeline delay report that I found to be incorrect with my channel checks at the $AMD conference. 
Don't think my views have changed, it's moreso waiting for 2027. 
Names with more confirmed scale-out switch volumes like Shunsin + laser names like $AAOI / $SIVE ramp a lot earlier. It's just timelines in my view and when markets want to price that in.</x:v>
      </x:c>
      <x:c r="M310" s="65" t="str">
        <x:v>https://x.com/aleabitoreddit/status/2083282302453571849</x:v>
      </x:c>
      <x:c r="N310" s="23" t="str">
        <x:v>제외</x:v>
      </x:c>
    </x:row>
    <x:row r="311" ht="60" customHeight="1">
      <x:c r="A311" s="24" t="n">
        <x:v>2750</x:v>
      </x:c>
      <x:c r="B311" s="24" t="str">
        <x:v>NVDA</x:v>
      </x:c>
      <x:c r="C311" s="54" t="n">
        <x:v>46234.85293981482</x:v>
      </x:c>
      <x:c r="D311" s="24" t="str">
        <x:v>StockSavvyShay</x:v>
      </x:c>
      <x:c r="E311" s="24" t="str">
        <x:v>bullish</x:v>
      </x:c>
      <x:c r="F311" s="35" t="n">
        <x:v>0.7</x:v>
      </x:c>
      <x:c r="G311" s="24" t="str">
        <x:v>needs_review</x:v>
      </x:c>
      <x:c r="H311" s="24" t="str">
        <x:v>stance</x:v>
      </x:c>
      <x:c r="I311" s="24"/>
      <x:c r="J311" s="24" t="str">
        <x:v>valuation</x:v>
      </x:c>
      <x:c r="K311" s="51" t="str">
        <x:v>NVDA의 밸류에이션이 AAPL보다 낮은 것은 매력적이다.</x:v>
      </x:c>
      <x:c r="L311" s="51" t="str">
        <x:v>@VanquishTrader In no world should $AAPL have been trading at twice the multiple $NVDA is</x:v>
      </x:c>
      <x:c r="M311" s="66" t="str">
        <x:v>https://x.com/StockSavvyShay/status/2083288649710588294</x:v>
      </x:c>
      <x:c r="N311" s="24" t="str">
        <x:v>제외</x:v>
      </x:c>
    </x:row>
  </x:sheetData>
  <x:mergeCells>
    <x:mergeCell ref="A1:N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34" hidden="0" customWidth="1"/>
    <x:col min="9" max="9" width="34" hidden="0" customWidth="1"/>
    <x:col min="10" max="10" width="16" hidden="0" customWidth="1"/>
  </x:cols>
  <x:sheetData>
    <x:row r="1" ht="36" customHeight="1">
      <x:c r="A1" s="3" t="str">
        <x:v>일별 가격 원천 · Release 0 검증 전용</x:v>
      </x:c>
      <x:c r="B1" s="3" t="str">
        <x:v>일별 가격 원천 · Release 0 검증 전용</x:v>
      </x:c>
      <x:c r="C1" s="3" t="str">
        <x:v>일별 가격 원천 · Release 0 검증 전용</x:v>
      </x:c>
      <x:c r="D1" s="3" t="str">
        <x:v>일별 가격 원천 · Release 0 검증 전용</x:v>
      </x:c>
      <x:c r="E1" s="3" t="str">
        <x:v>일별 가격 원천 · Release 0 검증 전용</x:v>
      </x:c>
      <x:c r="F1" s="3" t="str">
        <x:v>일별 가격 원천 · Release 0 검증 전용</x:v>
      </x:c>
      <x:c r="G1" s="3" t="str">
        <x:v>일별 가격 원천 · Release 0 검증 전용</x:v>
      </x:c>
      <x:c r="H1" s="3" t="str">
        <x:v>일별 가격 원천 · Release 0 검증 전용</x:v>
      </x:c>
      <x:c r="I1" s="3" t="str">
        <x:v>일별 가격 원천 · Release 0 검증 전용</x:v>
      </x:c>
      <x:c r="J1" s="3" t="str">
        <x:v>일별 가격 원천 · Release 0 검증 전용</x:v>
      </x:c>
    </x:row>
    <x:row r="2">
      <x:c r="A2" s="71" t="str">
        <x:v>수정 시가는 raw open × adjusted close / raw close로 도출했습니다. 운영 공개 전 정식 가격 라이선스가 필요합니다.</x:v>
      </x:c>
      <x:c r="B2" s="71" t="str">
        <x:v>수정 시가는 raw open × adjusted close / raw close로 도출했습니다. 운영 공개 전 정식 가격 라이선스가 필요합니다.</x:v>
      </x:c>
      <x:c r="C2" s="71" t="str">
        <x:v>수정 시가는 raw open × adjusted close / raw close로 도출했습니다. 운영 공개 전 정식 가격 라이선스가 필요합니다.</x:v>
      </x:c>
      <x:c r="D2" s="71" t="str">
        <x:v>수정 시가는 raw open × adjusted close / raw close로 도출했습니다. 운영 공개 전 정식 가격 라이선스가 필요합니다.</x:v>
      </x:c>
      <x:c r="E2" s="71" t="str">
        <x:v>수정 시가는 raw open × adjusted close / raw close로 도출했습니다. 운영 공개 전 정식 가격 라이선스가 필요합니다.</x:v>
      </x:c>
      <x:c r="F2" s="71" t="str">
        <x:v>수정 시가는 raw open × adjusted close / raw close로 도출했습니다. 운영 공개 전 정식 가격 라이선스가 필요합니다.</x:v>
      </x:c>
      <x:c r="G2" s="71" t="str">
        <x:v>수정 시가는 raw open × adjusted close / raw close로 도출했습니다. 운영 공개 전 정식 가격 라이선스가 필요합니다.</x:v>
      </x:c>
      <x:c r="H2" s="71" t="str">
        <x:v>수정 시가는 raw open × adjusted close / raw close로 도출했습니다. 운영 공개 전 정식 가격 라이선스가 필요합니다.</x:v>
      </x:c>
      <x:c r="I2" s="71" t="str">
        <x:v>수정 시가는 raw open × adjusted close / raw close로 도출했습니다. 운영 공개 전 정식 가격 라이선스가 필요합니다.</x:v>
      </x:c>
      <x:c r="J2" s="71" t="str">
        <x:v>수정 시가는 raw open × adjusted close / raw close로 도출했습니다. 운영 공개 전 정식 가격 라이선스가 필요합니다.</x:v>
      </x:c>
    </x:row>
    <x:row r="4" ht="32" customHeight="1">
      <x:c r="A4" s="15" t="str">
        <x:v>Ticker</x:v>
      </x:c>
      <x:c r="B4" s="16" t="str">
        <x:v>세션 오픈 시각</x:v>
      </x:c>
      <x:c r="C4" s="16" t="str">
        <x:v>Raw Open</x:v>
      </x:c>
      <x:c r="D4" s="16" t="str">
        <x:v>Raw Close</x:v>
      </x:c>
      <x:c r="E4" s="16" t="str">
        <x:v>Adjusted Close</x:v>
      </x:c>
      <x:c r="F4" s="16" t="str">
        <x:v>수정 계수</x:v>
      </x:c>
      <x:c r="G4" s="16" t="str">
        <x:v>Adjusted Open</x:v>
      </x:c>
      <x:c r="H4" s="16" t="str">
        <x:v>산식</x:v>
      </x:c>
      <x:c r="I4" s="16" t="str">
        <x:v>Source URL</x:v>
      </x:c>
      <x:c r="J4" s="17" t="str">
        <x:v>용도</x:v>
      </x:c>
    </x:row>
    <x:row r="5">
      <x:c r="A5" s="22" t="str">
        <x:v>COHR</x:v>
      </x:c>
      <x:c r="B5" s="52" t="n">
        <x:v>46162.5625</x:v>
      </x:c>
      <x:c r="C5" s="58" t="n">
        <x:v>362.9700012207031</x:v>
      </x:c>
      <x:c r="D5" s="58" t="n">
        <x:v>358.5</x:v>
      </x:c>
      <x:c r="E5" s="58" t="n">
        <x:v>358.5</x:v>
      </x:c>
      <x:c r="F5" s="72" t="n">
        <x:v>1</x:v>
      </x:c>
      <x:c r="G5" s="58" t="n">
        <x:v>362.9700012207031</x:v>
      </x:c>
      <x:c r="H5" s="22" t="str">
        <x:v>raw_open × adjusted_close / raw_close</x:v>
      </x:c>
      <x:c r="I5" s="75" t="str">
        <x:v>https://query1.finance.yahoo.com/v8/finance/chart/COHR?period1=1779284110&amp;period2=1785815999&amp;interval=1d&amp;events=div%2Csplits&amp;includeAdjustedClose=true</x:v>
      </x:c>
      <x:c r="J5" s="22" t="str">
        <x:v>R0 방법론 검증 전용</x:v>
      </x:c>
    </x:row>
    <x:row r="6">
      <x:c r="A6" s="23" t="str">
        <x:v>COHR</x:v>
      </x:c>
      <x:c r="B6" s="53" t="n">
        <x:v>46163.5625</x:v>
      </x:c>
      <x:c r="C6" s="59" t="n">
        <x:v>361</x:v>
      </x:c>
      <x:c r="D6" s="59" t="n">
        <x:v>378</x:v>
      </x:c>
      <x:c r="E6" s="59" t="n">
        <x:v>378</x:v>
      </x:c>
      <x:c r="F6" s="73" t="n">
        <x:v>1</x:v>
      </x:c>
      <x:c r="G6" s="59" t="n">
        <x:v>361</x:v>
      </x:c>
      <x:c r="H6" s="23" t="str">
        <x:v>raw_open × adjusted_close / raw_close</x:v>
      </x:c>
      <x:c r="I6" s="76" t="str">
        <x:v>https://query1.finance.yahoo.com/v8/finance/chart/COHR?period1=1779284110&amp;period2=1785815999&amp;interval=1d&amp;events=div%2Csplits&amp;includeAdjustedClose=true</x:v>
      </x:c>
      <x:c r="J6" s="23" t="str">
        <x:v>R0 방법론 검증 전용</x:v>
      </x:c>
    </x:row>
    <x:row r="7">
      <x:c r="A7" s="23" t="str">
        <x:v>COHR</x:v>
      </x:c>
      <x:c r="B7" s="53" t="n">
        <x:v>46164.5625</x:v>
      </x:c>
      <x:c r="C7" s="59" t="n">
        <x:v>382</x:v>
      </x:c>
      <x:c r="D7" s="59" t="n">
        <x:v>377.57000732421875</x:v>
      </x:c>
      <x:c r="E7" s="59" t="n">
        <x:v>377.57000732421875</x:v>
      </x:c>
      <x:c r="F7" s="73" t="n">
        <x:v>1</x:v>
      </x:c>
      <x:c r="G7" s="59" t="n">
        <x:v>382</x:v>
      </x:c>
      <x:c r="H7" s="23" t="str">
        <x:v>raw_open × adjusted_close / raw_close</x:v>
      </x:c>
      <x:c r="I7" s="76" t="str">
        <x:v>https://query1.finance.yahoo.com/v8/finance/chart/COHR?period1=1779284110&amp;period2=1785815999&amp;interval=1d&amp;events=div%2Csplits&amp;includeAdjustedClose=true</x:v>
      </x:c>
      <x:c r="J7" s="23" t="str">
        <x:v>R0 방법론 검증 전용</x:v>
      </x:c>
    </x:row>
    <x:row r="8">
      <x:c r="A8" s="23" t="str">
        <x:v>COHR</x:v>
      </x:c>
      <x:c r="B8" s="53" t="n">
        <x:v>46168.5625</x:v>
      </x:c>
      <x:c r="C8" s="59" t="n">
        <x:v>383.3299865722656</x:v>
      </x:c>
      <x:c r="D8" s="59" t="n">
        <x:v>381.3500061035156</x:v>
      </x:c>
      <x:c r="E8" s="59" t="n">
        <x:v>381.3500061035156</x:v>
      </x:c>
      <x:c r="F8" s="73" t="n">
        <x:v>1</x:v>
      </x:c>
      <x:c r="G8" s="59" t="n">
        <x:v>383.3299865722656</x:v>
      </x:c>
      <x:c r="H8" s="23" t="str">
        <x:v>raw_open × adjusted_close / raw_close</x:v>
      </x:c>
      <x:c r="I8" s="76" t="str">
        <x:v>https://query1.finance.yahoo.com/v8/finance/chart/COHR?period1=1779284110&amp;period2=1785815999&amp;interval=1d&amp;events=div%2Csplits&amp;includeAdjustedClose=true</x:v>
      </x:c>
      <x:c r="J8" s="23" t="str">
        <x:v>R0 방법론 검증 전용</x:v>
      </x:c>
    </x:row>
    <x:row r="9">
      <x:c r="A9" s="23" t="str">
        <x:v>COHR</x:v>
      </x:c>
      <x:c r="B9" s="53" t="n">
        <x:v>46169.5625</x:v>
      </x:c>
      <x:c r="C9" s="59" t="n">
        <x:v>383.92999267578125</x:v>
      </x:c>
      <x:c r="D9" s="59" t="n">
        <x:v>380.17999267578125</x:v>
      </x:c>
      <x:c r="E9" s="59" t="n">
        <x:v>380.17999267578125</x:v>
      </x:c>
      <x:c r="F9" s="73" t="n">
        <x:v>1</x:v>
      </x:c>
      <x:c r="G9" s="59" t="n">
        <x:v>383.92999267578125</x:v>
      </x:c>
      <x:c r="H9" s="23" t="str">
        <x:v>raw_open × adjusted_close / raw_close</x:v>
      </x:c>
      <x:c r="I9" s="76" t="str">
        <x:v>https://query1.finance.yahoo.com/v8/finance/chart/COHR?period1=1779284110&amp;period2=1785815999&amp;interval=1d&amp;events=div%2Csplits&amp;includeAdjustedClose=true</x:v>
      </x:c>
      <x:c r="J9" s="23" t="str">
        <x:v>R0 방법론 검증 전용</x:v>
      </x:c>
    </x:row>
    <x:row r="10">
      <x:c r="A10" s="23" t="str">
        <x:v>COHR</x:v>
      </x:c>
      <x:c r="B10" s="53" t="n">
        <x:v>46170.5625</x:v>
      </x:c>
      <x:c r="C10" s="59" t="n">
        <x:v>387.82000732421875</x:v>
      </x:c>
      <x:c r="D10" s="59" t="n">
        <x:v>376.95001220703125</x:v>
      </x:c>
      <x:c r="E10" s="59" t="n">
        <x:v>376.95001220703125</x:v>
      </x:c>
      <x:c r="F10" s="73" t="n">
        <x:v>1</x:v>
      </x:c>
      <x:c r="G10" s="59" t="n">
        <x:v>387.82000732421875</x:v>
      </x:c>
      <x:c r="H10" s="23" t="str">
        <x:v>raw_open × adjusted_close / raw_close</x:v>
      </x:c>
      <x:c r="I10" s="76" t="str">
        <x:v>https://query1.finance.yahoo.com/v8/finance/chart/COHR?period1=1779284110&amp;period2=1785815999&amp;interval=1d&amp;events=div%2Csplits&amp;includeAdjustedClose=true</x:v>
      </x:c>
      <x:c r="J10" s="23" t="str">
        <x:v>R0 방법론 검증 전용</x:v>
      </x:c>
    </x:row>
    <x:row r="11">
      <x:c r="A11" s="23" t="str">
        <x:v>COHR</x:v>
      </x:c>
      <x:c r="B11" s="53" t="n">
        <x:v>46171.5625</x:v>
      </x:c>
      <x:c r="C11" s="59" t="n">
        <x:v>375.6499938964844</x:v>
      </x:c>
      <x:c r="D11" s="59" t="n">
        <x:v>361.4700012207031</x:v>
      </x:c>
      <x:c r="E11" s="59" t="n">
        <x:v>361.4700012207031</x:v>
      </x:c>
      <x:c r="F11" s="73" t="n">
        <x:v>1</x:v>
      </x:c>
      <x:c r="G11" s="59" t="n">
        <x:v>375.6499938964844</x:v>
      </x:c>
      <x:c r="H11" s="23" t="str">
        <x:v>raw_open × adjusted_close / raw_close</x:v>
      </x:c>
      <x:c r="I11" s="76" t="str">
        <x:v>https://query1.finance.yahoo.com/v8/finance/chart/COHR?period1=1779284110&amp;period2=1785815999&amp;interval=1d&amp;events=div%2Csplits&amp;includeAdjustedClose=true</x:v>
      </x:c>
      <x:c r="J11" s="23" t="str">
        <x:v>R0 방법론 검증 전용</x:v>
      </x:c>
    </x:row>
    <x:row r="12">
      <x:c r="A12" s="23" t="str">
        <x:v>COHR</x:v>
      </x:c>
      <x:c r="B12" s="53" t="n">
        <x:v>46174.5625</x:v>
      </x:c>
      <x:c r="C12" s="59" t="n">
        <x:v>350.92999267578125</x:v>
      </x:c>
      <x:c r="D12" s="59" t="n">
        <x:v>362.8999938964844</x:v>
      </x:c>
      <x:c r="E12" s="59" t="n">
        <x:v>362.8999938964844</x:v>
      </x:c>
      <x:c r="F12" s="73" t="n">
        <x:v>1</x:v>
      </x:c>
      <x:c r="G12" s="59" t="n">
        <x:v>350.92999267578125</x:v>
      </x:c>
      <x:c r="H12" s="23" t="str">
        <x:v>raw_open × adjusted_close / raw_close</x:v>
      </x:c>
      <x:c r="I12" s="76" t="str">
        <x:v>https://query1.finance.yahoo.com/v8/finance/chart/COHR?period1=1779284110&amp;period2=1785815999&amp;interval=1d&amp;events=div%2Csplits&amp;includeAdjustedClose=true</x:v>
      </x:c>
      <x:c r="J12" s="23" t="str">
        <x:v>R0 방법론 검증 전용</x:v>
      </x:c>
    </x:row>
    <x:row r="13">
      <x:c r="A13" s="23" t="str">
        <x:v>COHR</x:v>
      </x:c>
      <x:c r="B13" s="53" t="n">
        <x:v>46175.5625</x:v>
      </x:c>
      <x:c r="C13" s="59" t="n">
        <x:v>381.8599853515625</x:v>
      </x:c>
      <x:c r="D13" s="59" t="n">
        <x:v>426.8900146484375</x:v>
      </x:c>
      <x:c r="E13" s="59" t="n">
        <x:v>426.8900146484375</x:v>
      </x:c>
      <x:c r="F13" s="73" t="n">
        <x:v>1</x:v>
      </x:c>
      <x:c r="G13" s="59" t="n">
        <x:v>381.8599853515625</x:v>
      </x:c>
      <x:c r="H13" s="23" t="str">
        <x:v>raw_open × adjusted_close / raw_close</x:v>
      </x:c>
      <x:c r="I13" s="76" t="str">
        <x:v>https://query1.finance.yahoo.com/v8/finance/chart/COHR?period1=1779284110&amp;period2=1785815999&amp;interval=1d&amp;events=div%2Csplits&amp;includeAdjustedClose=true</x:v>
      </x:c>
      <x:c r="J13" s="23" t="str">
        <x:v>R0 방법론 검증 전용</x:v>
      </x:c>
    </x:row>
    <x:row r="14">
      <x:c r="A14" s="23" t="str">
        <x:v>COHR</x:v>
      </x:c>
      <x:c r="B14" s="53" t="n">
        <x:v>46176.5625</x:v>
      </x:c>
      <x:c r="C14" s="59" t="n">
        <x:v>435.9800109863281</x:v>
      </x:c>
      <x:c r="D14" s="59" t="n">
        <x:v>417.42999267578125</x:v>
      </x:c>
      <x:c r="E14" s="59" t="n">
        <x:v>417.42999267578125</x:v>
      </x:c>
      <x:c r="F14" s="73" t="n">
        <x:v>1</x:v>
      </x:c>
      <x:c r="G14" s="59" t="n">
        <x:v>435.9800109863281</x:v>
      </x:c>
      <x:c r="H14" s="23" t="str">
        <x:v>raw_open × adjusted_close / raw_close</x:v>
      </x:c>
      <x:c r="I14" s="76" t="str">
        <x:v>https://query1.finance.yahoo.com/v8/finance/chart/COHR?period1=1779284110&amp;period2=1785815999&amp;interval=1d&amp;events=div%2Csplits&amp;includeAdjustedClose=true</x:v>
      </x:c>
      <x:c r="J14" s="23" t="str">
        <x:v>R0 방법론 검증 전용</x:v>
      </x:c>
    </x:row>
    <x:row r="15">
      <x:c r="A15" s="23" t="str">
        <x:v>COHR</x:v>
      </x:c>
      <x:c r="B15" s="53" t="n">
        <x:v>46177.5625</x:v>
      </x:c>
      <x:c r="C15" s="59" t="n">
        <x:v>398.70001220703125</x:v>
      </x:c>
      <x:c r="D15" s="59" t="n">
        <x:v>421.8999938964844</x:v>
      </x:c>
      <x:c r="E15" s="59" t="n">
        <x:v>421.8999938964844</x:v>
      </x:c>
      <x:c r="F15" s="73" t="n">
        <x:v>1</x:v>
      </x:c>
      <x:c r="G15" s="59" t="n">
        <x:v>398.70001220703125</x:v>
      </x:c>
      <x:c r="H15" s="23" t="str">
        <x:v>raw_open × adjusted_close / raw_close</x:v>
      </x:c>
      <x:c r="I15" s="76" t="str">
        <x:v>https://query1.finance.yahoo.com/v8/finance/chart/COHR?period1=1779284110&amp;period2=1785815999&amp;interval=1d&amp;events=div%2Csplits&amp;includeAdjustedClose=true</x:v>
      </x:c>
      <x:c r="J15" s="23" t="str">
        <x:v>R0 방법론 검증 전용</x:v>
      </x:c>
    </x:row>
    <x:row r="16">
      <x:c r="A16" s="23" t="str">
        <x:v>COHR</x:v>
      </x:c>
      <x:c r="B16" s="53" t="n">
        <x:v>46178.5625</x:v>
      </x:c>
      <x:c r="C16" s="59" t="n">
        <x:v>405.2699890136719</x:v>
      </x:c>
      <x:c r="D16" s="59" t="n">
        <x:v>376.989990234375</x:v>
      </x:c>
      <x:c r="E16" s="59" t="n">
        <x:v>376.989990234375</x:v>
      </x:c>
      <x:c r="F16" s="73" t="n">
        <x:v>1</x:v>
      </x:c>
      <x:c r="G16" s="59" t="n">
        <x:v>405.2699890136719</x:v>
      </x:c>
      <x:c r="H16" s="23" t="str">
        <x:v>raw_open × adjusted_close / raw_close</x:v>
      </x:c>
      <x:c r="I16" s="76" t="str">
        <x:v>https://query1.finance.yahoo.com/v8/finance/chart/COHR?period1=1779284110&amp;period2=1785815999&amp;interval=1d&amp;events=div%2Csplits&amp;includeAdjustedClose=true</x:v>
      </x:c>
      <x:c r="J16" s="23" t="str">
        <x:v>R0 방법론 검증 전용</x:v>
      </x:c>
    </x:row>
    <x:row r="17">
      <x:c r="A17" s="23" t="str">
        <x:v>COHR</x:v>
      </x:c>
      <x:c r="B17" s="53" t="n">
        <x:v>46181.5625</x:v>
      </x:c>
      <x:c r="C17" s="59" t="n">
        <x:v>396</x:v>
      </x:c>
      <x:c r="D17" s="59" t="n">
        <x:v>401.92999267578125</x:v>
      </x:c>
      <x:c r="E17" s="59" t="n">
        <x:v>401.92999267578125</x:v>
      </x:c>
      <x:c r="F17" s="73" t="n">
        <x:v>1</x:v>
      </x:c>
      <x:c r="G17" s="59" t="n">
        <x:v>396</x:v>
      </x:c>
      <x:c r="H17" s="23" t="str">
        <x:v>raw_open × adjusted_close / raw_close</x:v>
      </x:c>
      <x:c r="I17" s="76" t="str">
        <x:v>https://query1.finance.yahoo.com/v8/finance/chart/COHR?period1=1779284110&amp;period2=1785815999&amp;interval=1d&amp;events=div%2Csplits&amp;includeAdjustedClose=true</x:v>
      </x:c>
      <x:c r="J17" s="23" t="str">
        <x:v>R0 방법론 검증 전용</x:v>
      </x:c>
    </x:row>
    <x:row r="18">
      <x:c r="A18" s="23" t="str">
        <x:v>COHR</x:v>
      </x:c>
      <x:c r="B18" s="53" t="n">
        <x:v>46182.5625</x:v>
      </x:c>
      <x:c r="C18" s="59" t="n">
        <x:v>407.0799865722656</x:v>
      </x:c>
      <x:c r="D18" s="59" t="n">
        <x:v>355.94000244140625</x:v>
      </x:c>
      <x:c r="E18" s="59" t="n">
        <x:v>355.94000244140625</x:v>
      </x:c>
      <x:c r="F18" s="73" t="n">
        <x:v>1</x:v>
      </x:c>
      <x:c r="G18" s="59" t="n">
        <x:v>407.0799865722656</x:v>
      </x:c>
      <x:c r="H18" s="23" t="str">
        <x:v>raw_open × adjusted_close / raw_close</x:v>
      </x:c>
      <x:c r="I18" s="76" t="str">
        <x:v>https://query1.finance.yahoo.com/v8/finance/chart/COHR?period1=1779284110&amp;period2=1785815999&amp;interval=1d&amp;events=div%2Csplits&amp;includeAdjustedClose=true</x:v>
      </x:c>
      <x:c r="J18" s="23" t="str">
        <x:v>R0 방법론 검증 전용</x:v>
      </x:c>
    </x:row>
    <x:row r="19">
      <x:c r="A19" s="23" t="str">
        <x:v>COHR</x:v>
      </x:c>
      <x:c r="B19" s="53" t="n">
        <x:v>46183.5625</x:v>
      </x:c>
      <x:c r="C19" s="59" t="n">
        <x:v>353.489990234375</x:v>
      </x:c>
      <x:c r="D19" s="59" t="n">
        <x:v>354.7699890136719</x:v>
      </x:c>
      <x:c r="E19" s="59" t="n">
        <x:v>354.7699890136719</x:v>
      </x:c>
      <x:c r="F19" s="73" t="n">
        <x:v>1</x:v>
      </x:c>
      <x:c r="G19" s="59" t="n">
        <x:v>353.489990234375</x:v>
      </x:c>
      <x:c r="H19" s="23" t="str">
        <x:v>raw_open × adjusted_close / raw_close</x:v>
      </x:c>
      <x:c r="I19" s="76" t="str">
        <x:v>https://query1.finance.yahoo.com/v8/finance/chart/COHR?period1=1779284110&amp;period2=1785815999&amp;interval=1d&amp;events=div%2Csplits&amp;includeAdjustedClose=true</x:v>
      </x:c>
      <x:c r="J19" s="23" t="str">
        <x:v>R0 방법론 검증 전용</x:v>
      </x:c>
    </x:row>
    <x:row r="20">
      <x:c r="A20" s="23" t="str">
        <x:v>COHR</x:v>
      </x:c>
      <x:c r="B20" s="53" t="n">
        <x:v>46184.5625</x:v>
      </x:c>
      <x:c r="C20" s="59" t="n">
        <x:v>354.8500061035156</x:v>
      </x:c>
      <x:c r="D20" s="59" t="n">
        <x:v>363.5799865722656</x:v>
      </x:c>
      <x:c r="E20" s="59" t="n">
        <x:v>363.5799865722656</x:v>
      </x:c>
      <x:c r="F20" s="73" t="n">
        <x:v>1</x:v>
      </x:c>
      <x:c r="G20" s="59" t="n">
        <x:v>354.8500061035156</x:v>
      </x:c>
      <x:c r="H20" s="23" t="str">
        <x:v>raw_open × adjusted_close / raw_close</x:v>
      </x:c>
      <x:c r="I20" s="76" t="str">
        <x:v>https://query1.finance.yahoo.com/v8/finance/chart/COHR?period1=1779284110&amp;period2=1785815999&amp;interval=1d&amp;events=div%2Csplits&amp;includeAdjustedClose=true</x:v>
      </x:c>
      <x:c r="J20" s="23" t="str">
        <x:v>R0 방법론 검증 전용</x:v>
      </x:c>
    </x:row>
    <x:row r="21">
      <x:c r="A21" s="23" t="str">
        <x:v>COHR</x:v>
      </x:c>
      <x:c r="B21" s="53" t="n">
        <x:v>46185.5625</x:v>
      </x:c>
      <x:c r="C21" s="59" t="n">
        <x:v>374.2699890136719</x:v>
      </x:c>
      <x:c r="D21" s="59" t="n">
        <x:v>385.0299987792969</x:v>
      </x:c>
      <x:c r="E21" s="59" t="n">
        <x:v>385.0299987792969</x:v>
      </x:c>
      <x:c r="F21" s="73" t="n">
        <x:v>1</x:v>
      </x:c>
      <x:c r="G21" s="59" t="n">
        <x:v>374.2699890136719</x:v>
      </x:c>
      <x:c r="H21" s="23" t="str">
        <x:v>raw_open × adjusted_close / raw_close</x:v>
      </x:c>
      <x:c r="I21" s="76" t="str">
        <x:v>https://query1.finance.yahoo.com/v8/finance/chart/COHR?period1=1779284110&amp;period2=1785815999&amp;interval=1d&amp;events=div%2Csplits&amp;includeAdjustedClose=true</x:v>
      </x:c>
      <x:c r="J21" s="23" t="str">
        <x:v>R0 방법론 검증 전용</x:v>
      </x:c>
    </x:row>
    <x:row r="22">
      <x:c r="A22" s="23" t="str">
        <x:v>COHR</x:v>
      </x:c>
      <x:c r="B22" s="53" t="n">
        <x:v>46188.5625</x:v>
      </x:c>
      <x:c r="C22" s="59" t="n">
        <x:v>403.3500061035156</x:v>
      </x:c>
      <x:c r="D22" s="59" t="n">
        <x:v>413.8399963378906</x:v>
      </x:c>
      <x:c r="E22" s="59" t="n">
        <x:v>413.8399963378906</x:v>
      </x:c>
      <x:c r="F22" s="73" t="n">
        <x:v>1</x:v>
      </x:c>
      <x:c r="G22" s="59" t="n">
        <x:v>403.3500061035156</x:v>
      </x:c>
      <x:c r="H22" s="23" t="str">
        <x:v>raw_open × adjusted_close / raw_close</x:v>
      </x:c>
      <x:c r="I22" s="76" t="str">
        <x:v>https://query1.finance.yahoo.com/v8/finance/chart/COHR?period1=1779284110&amp;period2=1785815999&amp;interval=1d&amp;events=div%2Csplits&amp;includeAdjustedClose=true</x:v>
      </x:c>
      <x:c r="J22" s="23" t="str">
        <x:v>R0 방법론 검증 전용</x:v>
      </x:c>
    </x:row>
    <x:row r="23">
      <x:c r="A23" s="23" t="str">
        <x:v>COHR</x:v>
      </x:c>
      <x:c r="B23" s="53" t="n">
        <x:v>46189.5625</x:v>
      </x:c>
      <x:c r="C23" s="59" t="n">
        <x:v>423.739990234375</x:v>
      </x:c>
      <x:c r="D23" s="59" t="n">
        <x:v>382.80999755859375</x:v>
      </x:c>
      <x:c r="E23" s="59" t="n">
        <x:v>382.80999755859375</x:v>
      </x:c>
      <x:c r="F23" s="73" t="n">
        <x:v>1</x:v>
      </x:c>
      <x:c r="G23" s="59" t="n">
        <x:v>423.739990234375</x:v>
      </x:c>
      <x:c r="H23" s="23" t="str">
        <x:v>raw_open × adjusted_close / raw_close</x:v>
      </x:c>
      <x:c r="I23" s="76" t="str">
        <x:v>https://query1.finance.yahoo.com/v8/finance/chart/COHR?period1=1779284110&amp;period2=1785815999&amp;interval=1d&amp;events=div%2Csplits&amp;includeAdjustedClose=true</x:v>
      </x:c>
      <x:c r="J23" s="23" t="str">
        <x:v>R0 방법론 검증 전용</x:v>
      </x:c>
    </x:row>
    <x:row r="24">
      <x:c r="A24" s="23" t="str">
        <x:v>COHR</x:v>
      </x:c>
      <x:c r="B24" s="53" t="n">
        <x:v>46190.5625</x:v>
      </x:c>
      <x:c r="C24" s="59" t="n">
        <x:v>387.0199890136719</x:v>
      </x:c>
      <x:c r="D24" s="59" t="n">
        <x:v>378.8500061035156</x:v>
      </x:c>
      <x:c r="E24" s="59" t="n">
        <x:v>378.8500061035156</x:v>
      </x:c>
      <x:c r="F24" s="73" t="n">
        <x:v>1</x:v>
      </x:c>
      <x:c r="G24" s="59" t="n">
        <x:v>387.0199890136719</x:v>
      </x:c>
      <x:c r="H24" s="23" t="str">
        <x:v>raw_open × adjusted_close / raw_close</x:v>
      </x:c>
      <x:c r="I24" s="76" t="str">
        <x:v>https://query1.finance.yahoo.com/v8/finance/chart/COHR?period1=1779284110&amp;period2=1785815999&amp;interval=1d&amp;events=div%2Csplits&amp;includeAdjustedClose=true</x:v>
      </x:c>
      <x:c r="J24" s="23" t="str">
        <x:v>R0 방법론 검증 전용</x:v>
      </x:c>
    </x:row>
    <x:row r="25">
      <x:c r="A25" s="23" t="str">
        <x:v>COHR</x:v>
      </x:c>
      <x:c r="B25" s="53" t="n">
        <x:v>46191.5625</x:v>
      </x:c>
      <x:c r="C25" s="59" t="n">
        <x:v>394</x:v>
      </x:c>
      <x:c r="D25" s="59" t="n">
        <x:v>389.57000732421875</x:v>
      </x:c>
      <x:c r="E25" s="59" t="n">
        <x:v>389.57000732421875</x:v>
      </x:c>
      <x:c r="F25" s="73" t="n">
        <x:v>1</x:v>
      </x:c>
      <x:c r="G25" s="59" t="n">
        <x:v>394</x:v>
      </x:c>
      <x:c r="H25" s="23" t="str">
        <x:v>raw_open × adjusted_close / raw_close</x:v>
      </x:c>
      <x:c r="I25" s="76" t="str">
        <x:v>https://query1.finance.yahoo.com/v8/finance/chart/COHR?period1=1779284110&amp;period2=1785815999&amp;interval=1d&amp;events=div%2Csplits&amp;includeAdjustedClose=true</x:v>
      </x:c>
      <x:c r="J25" s="23" t="str">
        <x:v>R0 방법론 검증 전용</x:v>
      </x:c>
    </x:row>
    <x:row r="26">
      <x:c r="A26" s="23" t="str">
        <x:v>COHR</x:v>
      </x:c>
      <x:c r="B26" s="53" t="n">
        <x:v>46195.5625</x:v>
      </x:c>
      <x:c r="C26" s="59" t="n">
        <x:v>395.0400085449219</x:v>
      </x:c>
      <x:c r="D26" s="59" t="n">
        <x:v>425.4800109863281</x:v>
      </x:c>
      <x:c r="E26" s="59" t="n">
        <x:v>425.4800109863281</x:v>
      </x:c>
      <x:c r="F26" s="73" t="n">
        <x:v>1</x:v>
      </x:c>
      <x:c r="G26" s="59" t="n">
        <x:v>395.0400085449219</x:v>
      </x:c>
      <x:c r="H26" s="23" t="str">
        <x:v>raw_open × adjusted_close / raw_close</x:v>
      </x:c>
      <x:c r="I26" s="76" t="str">
        <x:v>https://query1.finance.yahoo.com/v8/finance/chart/COHR?period1=1779284110&amp;period2=1785815999&amp;interval=1d&amp;events=div%2Csplits&amp;includeAdjustedClose=true</x:v>
      </x:c>
      <x:c r="J26" s="23" t="str">
        <x:v>R0 방법론 검증 전용</x:v>
      </x:c>
    </x:row>
    <x:row r="27">
      <x:c r="A27" s="23" t="str">
        <x:v>COHR</x:v>
      </x:c>
      <x:c r="B27" s="53" t="n">
        <x:v>46196.5625</x:v>
      </x:c>
      <x:c r="C27" s="59" t="n">
        <x:v>388.69000244140625</x:v>
      </x:c>
      <x:c r="D27" s="59" t="n">
        <x:v>381.2200012207031</x:v>
      </x:c>
      <x:c r="E27" s="59" t="n">
        <x:v>381.2200012207031</x:v>
      </x:c>
      <x:c r="F27" s="73" t="n">
        <x:v>1</x:v>
      </x:c>
      <x:c r="G27" s="59" t="n">
        <x:v>388.69000244140625</x:v>
      </x:c>
      <x:c r="H27" s="23" t="str">
        <x:v>raw_open × adjusted_close / raw_close</x:v>
      </x:c>
      <x:c r="I27" s="76" t="str">
        <x:v>https://query1.finance.yahoo.com/v8/finance/chart/COHR?period1=1779284110&amp;period2=1785815999&amp;interval=1d&amp;events=div%2Csplits&amp;includeAdjustedClose=true</x:v>
      </x:c>
      <x:c r="J27" s="23" t="str">
        <x:v>R0 방법론 검증 전용</x:v>
      </x:c>
    </x:row>
    <x:row r="28">
      <x:c r="A28" s="23" t="str">
        <x:v>COHR</x:v>
      </x:c>
      <x:c r="B28" s="53" t="n">
        <x:v>46197.5625</x:v>
      </x:c>
      <x:c r="C28" s="59" t="n">
        <x:v>385.1000061035156</x:v>
      </x:c>
      <x:c r="D28" s="59" t="n">
        <x:v>392.5</x:v>
      </x:c>
      <x:c r="E28" s="59" t="n">
        <x:v>392.5</x:v>
      </x:c>
      <x:c r="F28" s="73" t="n">
        <x:v>1</x:v>
      </x:c>
      <x:c r="G28" s="59" t="n">
        <x:v>385.1000061035156</x:v>
      </x:c>
      <x:c r="H28" s="23" t="str">
        <x:v>raw_open × adjusted_close / raw_close</x:v>
      </x:c>
      <x:c r="I28" s="76" t="str">
        <x:v>https://query1.finance.yahoo.com/v8/finance/chart/COHR?period1=1779284110&amp;period2=1785815999&amp;interval=1d&amp;events=div%2Csplits&amp;includeAdjustedClose=true</x:v>
      </x:c>
      <x:c r="J28" s="23" t="str">
        <x:v>R0 방법론 검증 전용</x:v>
      </x:c>
    </x:row>
    <x:row r="29">
      <x:c r="A29" s="23" t="str">
        <x:v>COHR</x:v>
      </x:c>
      <x:c r="B29" s="53" t="n">
        <x:v>46198.5625</x:v>
      </x:c>
      <x:c r="C29" s="59" t="n">
        <x:v>415.17999267578125</x:v>
      </x:c>
      <x:c r="D29" s="59" t="n">
        <x:v>407.25</x:v>
      </x:c>
      <x:c r="E29" s="59" t="n">
        <x:v>407.25</x:v>
      </x:c>
      <x:c r="F29" s="73" t="n">
        <x:v>1</x:v>
      </x:c>
      <x:c r="G29" s="59" t="n">
        <x:v>415.17999267578125</x:v>
      </x:c>
      <x:c r="H29" s="23" t="str">
        <x:v>raw_open × adjusted_close / raw_close</x:v>
      </x:c>
      <x:c r="I29" s="76" t="str">
        <x:v>https://query1.finance.yahoo.com/v8/finance/chart/COHR?period1=1779284110&amp;period2=1785815999&amp;interval=1d&amp;events=div%2Csplits&amp;includeAdjustedClose=true</x:v>
      </x:c>
      <x:c r="J29" s="23" t="str">
        <x:v>R0 방법론 검증 전용</x:v>
      </x:c>
    </x:row>
    <x:row r="30">
      <x:c r="A30" s="23" t="str">
        <x:v>COHR</x:v>
      </x:c>
      <x:c r="B30" s="53" t="n">
        <x:v>46199.5625</x:v>
      </x:c>
      <x:c r="C30" s="59" t="n">
        <x:v>392.79998779296875</x:v>
      </x:c>
      <x:c r="D30" s="59" t="n">
        <x:v>380.55999755859375</x:v>
      </x:c>
      <x:c r="E30" s="59" t="n">
        <x:v>380.55999755859375</x:v>
      </x:c>
      <x:c r="F30" s="73" t="n">
        <x:v>1</x:v>
      </x:c>
      <x:c r="G30" s="59" t="n">
        <x:v>392.79998779296875</x:v>
      </x:c>
      <x:c r="H30" s="23" t="str">
        <x:v>raw_open × adjusted_close / raw_close</x:v>
      </x:c>
      <x:c r="I30" s="76" t="str">
        <x:v>https://query1.finance.yahoo.com/v8/finance/chart/COHR?period1=1779284110&amp;period2=1785815999&amp;interval=1d&amp;events=div%2Csplits&amp;includeAdjustedClose=true</x:v>
      </x:c>
      <x:c r="J30" s="23" t="str">
        <x:v>R0 방법론 검증 전용</x:v>
      </x:c>
    </x:row>
    <x:row r="31">
      <x:c r="A31" s="23" t="str">
        <x:v>COHR</x:v>
      </x:c>
      <x:c r="B31" s="53" t="n">
        <x:v>46202.5625</x:v>
      </x:c>
      <x:c r="C31" s="59" t="n">
        <x:v>379.0899963378906</x:v>
      </x:c>
      <x:c r="D31" s="59" t="n">
        <x:v>391.2200012207031</x:v>
      </x:c>
      <x:c r="E31" s="59" t="n">
        <x:v>391.2200012207031</x:v>
      </x:c>
      <x:c r="F31" s="73" t="n">
        <x:v>1</x:v>
      </x:c>
      <x:c r="G31" s="59" t="n">
        <x:v>379.0899963378906</x:v>
      </x:c>
      <x:c r="H31" s="23" t="str">
        <x:v>raw_open × adjusted_close / raw_close</x:v>
      </x:c>
      <x:c r="I31" s="76" t="str">
        <x:v>https://query1.finance.yahoo.com/v8/finance/chart/COHR?period1=1779284110&amp;period2=1785815999&amp;interval=1d&amp;events=div%2Csplits&amp;includeAdjustedClose=true</x:v>
      </x:c>
      <x:c r="J31" s="23" t="str">
        <x:v>R0 방법론 검증 전용</x:v>
      </x:c>
    </x:row>
    <x:row r="32">
      <x:c r="A32" s="23" t="str">
        <x:v>COHR</x:v>
      </x:c>
      <x:c r="B32" s="53" t="n">
        <x:v>46203.5625</x:v>
      </x:c>
      <x:c r="C32" s="59" t="n">
        <x:v>388.42999267578125</x:v>
      </x:c>
      <x:c r="D32" s="59" t="n">
        <x:v>394.4700012207031</x:v>
      </x:c>
      <x:c r="E32" s="59" t="n">
        <x:v>394.4700012207031</x:v>
      </x:c>
      <x:c r="F32" s="73" t="n">
        <x:v>1</x:v>
      </x:c>
      <x:c r="G32" s="59" t="n">
        <x:v>388.42999267578125</x:v>
      </x:c>
      <x:c r="H32" s="23" t="str">
        <x:v>raw_open × adjusted_close / raw_close</x:v>
      </x:c>
      <x:c r="I32" s="76" t="str">
        <x:v>https://query1.finance.yahoo.com/v8/finance/chart/COHR?period1=1779284110&amp;period2=1785815999&amp;interval=1d&amp;events=div%2Csplits&amp;includeAdjustedClose=true</x:v>
      </x:c>
      <x:c r="J32" s="23" t="str">
        <x:v>R0 방법론 검증 전용</x:v>
      </x:c>
    </x:row>
    <x:row r="33">
      <x:c r="A33" s="23" t="str">
        <x:v>COHR</x:v>
      </x:c>
      <x:c r="B33" s="53" t="n">
        <x:v>46204.5625</x:v>
      </x:c>
      <x:c r="C33" s="59" t="n">
        <x:v>370.1099853515625</x:v>
      </x:c>
      <x:c r="D33" s="59" t="n">
        <x:v>368.6499938964844</x:v>
      </x:c>
      <x:c r="E33" s="59" t="n">
        <x:v>368.6499938964844</x:v>
      </x:c>
      <x:c r="F33" s="73" t="n">
        <x:v>1</x:v>
      </x:c>
      <x:c r="G33" s="59" t="n">
        <x:v>370.1099853515625</x:v>
      </x:c>
      <x:c r="H33" s="23" t="str">
        <x:v>raw_open × adjusted_close / raw_close</x:v>
      </x:c>
      <x:c r="I33" s="76" t="str">
        <x:v>https://query1.finance.yahoo.com/v8/finance/chart/COHR?period1=1779284110&amp;period2=1785815999&amp;interval=1d&amp;events=div%2Csplits&amp;includeAdjustedClose=true</x:v>
      </x:c>
      <x:c r="J33" s="23" t="str">
        <x:v>R0 방법론 검증 전용</x:v>
      </x:c>
    </x:row>
    <x:row r="34">
      <x:c r="A34" s="23" t="str">
        <x:v>COHR</x:v>
      </x:c>
      <x:c r="B34" s="53" t="n">
        <x:v>46205.5625</x:v>
      </x:c>
      <x:c r="C34" s="59" t="n">
        <x:v>358.0799865722656</x:v>
      </x:c>
      <x:c r="D34" s="59" t="n">
        <x:v>333.3599853515625</x:v>
      </x:c>
      <x:c r="E34" s="59" t="n">
        <x:v>333.3599853515625</x:v>
      </x:c>
      <x:c r="F34" s="73" t="n">
        <x:v>1</x:v>
      </x:c>
      <x:c r="G34" s="59" t="n">
        <x:v>358.0799865722656</x:v>
      </x:c>
      <x:c r="H34" s="23" t="str">
        <x:v>raw_open × adjusted_close / raw_close</x:v>
      </x:c>
      <x:c r="I34" s="76" t="str">
        <x:v>https://query1.finance.yahoo.com/v8/finance/chart/COHR?period1=1779284110&amp;period2=1785815999&amp;interval=1d&amp;events=div%2Csplits&amp;includeAdjustedClose=true</x:v>
      </x:c>
      <x:c r="J34" s="23" t="str">
        <x:v>R0 방법론 검증 전용</x:v>
      </x:c>
    </x:row>
    <x:row r="35">
      <x:c r="A35" s="23" t="str">
        <x:v>COHR</x:v>
      </x:c>
      <x:c r="B35" s="53" t="n">
        <x:v>46209.5625</x:v>
      </x:c>
      <x:c r="C35" s="59" t="n">
        <x:v>333.19000244140625</x:v>
      </x:c>
      <x:c r="D35" s="59" t="n">
        <x:v>335.70001220703125</x:v>
      </x:c>
      <x:c r="E35" s="59" t="n">
        <x:v>335.70001220703125</x:v>
      </x:c>
      <x:c r="F35" s="73" t="n">
        <x:v>1</x:v>
      </x:c>
      <x:c r="G35" s="59" t="n">
        <x:v>333.19000244140625</x:v>
      </x:c>
      <x:c r="H35" s="23" t="str">
        <x:v>raw_open × adjusted_close / raw_close</x:v>
      </x:c>
      <x:c r="I35" s="76" t="str">
        <x:v>https://query1.finance.yahoo.com/v8/finance/chart/COHR?period1=1779284110&amp;period2=1785815999&amp;interval=1d&amp;events=div%2Csplits&amp;includeAdjustedClose=true</x:v>
      </x:c>
      <x:c r="J35" s="23" t="str">
        <x:v>R0 방법론 검증 전용</x:v>
      </x:c>
    </x:row>
    <x:row r="36">
      <x:c r="A36" s="23" t="str">
        <x:v>COHR</x:v>
      </x:c>
      <x:c r="B36" s="53" t="n">
        <x:v>46210.5625</x:v>
      </x:c>
      <x:c r="C36" s="59" t="n">
        <x:v>320.9200134277344</x:v>
      </x:c>
      <x:c r="D36" s="59" t="n">
        <x:v>314.1300048828125</x:v>
      </x:c>
      <x:c r="E36" s="59" t="n">
        <x:v>314.1300048828125</x:v>
      </x:c>
      <x:c r="F36" s="73" t="n">
        <x:v>1</x:v>
      </x:c>
      <x:c r="G36" s="59" t="n">
        <x:v>320.9200134277344</x:v>
      </x:c>
      <x:c r="H36" s="23" t="str">
        <x:v>raw_open × adjusted_close / raw_close</x:v>
      </x:c>
      <x:c r="I36" s="76" t="str">
        <x:v>https://query1.finance.yahoo.com/v8/finance/chart/COHR?period1=1779284110&amp;period2=1785815999&amp;interval=1d&amp;events=div%2Csplits&amp;includeAdjustedClose=true</x:v>
      </x:c>
      <x:c r="J36" s="23" t="str">
        <x:v>R0 방법론 검증 전용</x:v>
      </x:c>
    </x:row>
    <x:row r="37">
      <x:c r="A37" s="23" t="str">
        <x:v>COHR</x:v>
      </x:c>
      <x:c r="B37" s="53" t="n">
        <x:v>46211.5625</x:v>
      </x:c>
      <x:c r="C37" s="59" t="n">
        <x:v>312.1499938964844</x:v>
      </x:c>
      <x:c r="D37" s="59" t="n">
        <x:v>317.04998779296875</x:v>
      </x:c>
      <x:c r="E37" s="59" t="n">
        <x:v>317.04998779296875</x:v>
      </x:c>
      <x:c r="F37" s="73" t="n">
        <x:v>1</x:v>
      </x:c>
      <x:c r="G37" s="59" t="n">
        <x:v>312.1499938964844</x:v>
      </x:c>
      <x:c r="H37" s="23" t="str">
        <x:v>raw_open × adjusted_close / raw_close</x:v>
      </x:c>
      <x:c r="I37" s="76" t="str">
        <x:v>https://query1.finance.yahoo.com/v8/finance/chart/COHR?period1=1779284110&amp;period2=1785815999&amp;interval=1d&amp;events=div%2Csplits&amp;includeAdjustedClose=true</x:v>
      </x:c>
      <x:c r="J37" s="23" t="str">
        <x:v>R0 방법론 검증 전용</x:v>
      </x:c>
    </x:row>
    <x:row r="38">
      <x:c r="A38" s="23" t="str">
        <x:v>COHR</x:v>
      </x:c>
      <x:c r="B38" s="53" t="n">
        <x:v>46212.5625</x:v>
      </x:c>
      <x:c r="C38" s="59" t="n">
        <x:v>335.1400146484375</x:v>
      </x:c>
      <x:c r="D38" s="59" t="n">
        <x:v>327.239990234375</x:v>
      </x:c>
      <x:c r="E38" s="59" t="n">
        <x:v>327.239990234375</x:v>
      </x:c>
      <x:c r="F38" s="73" t="n">
        <x:v>1</x:v>
      </x:c>
      <x:c r="G38" s="59" t="n">
        <x:v>335.1400146484375</x:v>
      </x:c>
      <x:c r="H38" s="23" t="str">
        <x:v>raw_open × adjusted_close / raw_close</x:v>
      </x:c>
      <x:c r="I38" s="76" t="str">
        <x:v>https://query1.finance.yahoo.com/v8/finance/chart/COHR?period1=1779284110&amp;period2=1785815999&amp;interval=1d&amp;events=div%2Csplits&amp;includeAdjustedClose=true</x:v>
      </x:c>
      <x:c r="J38" s="23" t="str">
        <x:v>R0 방법론 검증 전용</x:v>
      </x:c>
    </x:row>
    <x:row r="39">
      <x:c r="A39" s="23" t="str">
        <x:v>COHR</x:v>
      </x:c>
      <x:c r="B39" s="53" t="n">
        <x:v>46213.5625</x:v>
      </x:c>
      <x:c r="C39" s="59" t="n">
        <x:v>321.3999938964844</x:v>
      </x:c>
      <x:c r="D39" s="59" t="n">
        <x:v>324.5</x:v>
      </x:c>
      <x:c r="E39" s="59" t="n">
        <x:v>324.5</x:v>
      </x:c>
      <x:c r="F39" s="73" t="n">
        <x:v>1</x:v>
      </x:c>
      <x:c r="G39" s="59" t="n">
        <x:v>321.3999938964844</x:v>
      </x:c>
      <x:c r="H39" s="23" t="str">
        <x:v>raw_open × adjusted_close / raw_close</x:v>
      </x:c>
      <x:c r="I39" s="76" t="str">
        <x:v>https://query1.finance.yahoo.com/v8/finance/chart/COHR?period1=1779284110&amp;period2=1785815999&amp;interval=1d&amp;events=div%2Csplits&amp;includeAdjustedClose=true</x:v>
      </x:c>
      <x:c r="J39" s="23" t="str">
        <x:v>R0 방법론 검증 전용</x:v>
      </x:c>
    </x:row>
    <x:row r="40">
      <x:c r="A40" s="23" t="str">
        <x:v>COHR</x:v>
      </x:c>
      <x:c r="B40" s="53" t="n">
        <x:v>46216.5625</x:v>
      </x:c>
      <x:c r="C40" s="59" t="n">
        <x:v>314</x:v>
      </x:c>
      <x:c r="D40" s="59" t="n">
        <x:v>307.3900146484375</x:v>
      </x:c>
      <x:c r="E40" s="59" t="n">
        <x:v>307.3900146484375</x:v>
      </x:c>
      <x:c r="F40" s="73" t="n">
        <x:v>1</x:v>
      </x:c>
      <x:c r="G40" s="59" t="n">
        <x:v>314</x:v>
      </x:c>
      <x:c r="H40" s="23" t="str">
        <x:v>raw_open × adjusted_close / raw_close</x:v>
      </x:c>
      <x:c r="I40" s="76" t="str">
        <x:v>https://query1.finance.yahoo.com/v8/finance/chart/COHR?period1=1779284110&amp;period2=1785815999&amp;interval=1d&amp;events=div%2Csplits&amp;includeAdjustedClose=true</x:v>
      </x:c>
      <x:c r="J40" s="23" t="str">
        <x:v>R0 방법론 검증 전용</x:v>
      </x:c>
    </x:row>
    <x:row r="41">
      <x:c r="A41" s="23" t="str">
        <x:v>COHR</x:v>
      </x:c>
      <x:c r="B41" s="53" t="n">
        <x:v>46217.5625</x:v>
      </x:c>
      <x:c r="C41" s="59" t="n">
        <x:v>320.5</x:v>
      </x:c>
      <x:c r="D41" s="59" t="n">
        <x:v>310.7699890136719</x:v>
      </x:c>
      <x:c r="E41" s="59" t="n">
        <x:v>310.7699890136719</x:v>
      </x:c>
      <x:c r="F41" s="73" t="n">
        <x:v>1</x:v>
      </x:c>
      <x:c r="G41" s="59" t="n">
        <x:v>320.5</x:v>
      </x:c>
      <x:c r="H41" s="23" t="str">
        <x:v>raw_open × adjusted_close / raw_close</x:v>
      </x:c>
      <x:c r="I41" s="76" t="str">
        <x:v>https://query1.finance.yahoo.com/v8/finance/chart/COHR?period1=1779284110&amp;period2=1785815999&amp;interval=1d&amp;events=div%2Csplits&amp;includeAdjustedClose=true</x:v>
      </x:c>
      <x:c r="J41" s="23" t="str">
        <x:v>R0 방법론 검증 전용</x:v>
      </x:c>
    </x:row>
    <x:row r="42">
      <x:c r="A42" s="23" t="str">
        <x:v>COHR</x:v>
      </x:c>
      <x:c r="B42" s="53" t="n">
        <x:v>46218.5625</x:v>
      </x:c>
      <x:c r="C42" s="59" t="n">
        <x:v>315.1199951171875</x:v>
      </x:c>
      <x:c r="D42" s="59" t="n">
        <x:v>299.3800048828125</x:v>
      </x:c>
      <x:c r="E42" s="59" t="n">
        <x:v>299.3800048828125</x:v>
      </x:c>
      <x:c r="F42" s="73" t="n">
        <x:v>1</x:v>
      </x:c>
      <x:c r="G42" s="59" t="n">
        <x:v>315.1199951171875</x:v>
      </x:c>
      <x:c r="H42" s="23" t="str">
        <x:v>raw_open × adjusted_close / raw_close</x:v>
      </x:c>
      <x:c r="I42" s="76" t="str">
        <x:v>https://query1.finance.yahoo.com/v8/finance/chart/COHR?period1=1779284110&amp;period2=1785815999&amp;interval=1d&amp;events=div%2Csplits&amp;includeAdjustedClose=true</x:v>
      </x:c>
      <x:c r="J42" s="23" t="str">
        <x:v>R0 방법론 검증 전용</x:v>
      </x:c>
    </x:row>
    <x:row r="43">
      <x:c r="A43" s="23" t="str">
        <x:v>COHR</x:v>
      </x:c>
      <x:c r="B43" s="53" t="n">
        <x:v>46219.5625</x:v>
      </x:c>
      <x:c r="C43" s="59" t="n">
        <x:v>286.0899963378906</x:v>
      </x:c>
      <x:c r="D43" s="59" t="n">
        <x:v>276.9599914550781</x:v>
      </x:c>
      <x:c r="E43" s="59" t="n">
        <x:v>276.9599914550781</x:v>
      </x:c>
      <x:c r="F43" s="73" t="n">
        <x:v>1</x:v>
      </x:c>
      <x:c r="G43" s="59" t="n">
        <x:v>286.0899963378906</x:v>
      </x:c>
      <x:c r="H43" s="23" t="str">
        <x:v>raw_open × adjusted_close / raw_close</x:v>
      </x:c>
      <x:c r="I43" s="76" t="str">
        <x:v>https://query1.finance.yahoo.com/v8/finance/chart/COHR?period1=1779284110&amp;period2=1785815999&amp;interval=1d&amp;events=div%2Csplits&amp;includeAdjustedClose=true</x:v>
      </x:c>
      <x:c r="J43" s="23" t="str">
        <x:v>R0 방법론 검증 전용</x:v>
      </x:c>
    </x:row>
    <x:row r="44">
      <x:c r="A44" s="23" t="str">
        <x:v>COHR</x:v>
      </x:c>
      <x:c r="B44" s="53" t="n">
        <x:v>46220.5625</x:v>
      </x:c>
      <x:c r="C44" s="59" t="n">
        <x:v>264.8399963378906</x:v>
      </x:c>
      <x:c r="D44" s="59" t="n">
        <x:v>277.6000061035156</x:v>
      </x:c>
      <x:c r="E44" s="59" t="n">
        <x:v>277.6000061035156</x:v>
      </x:c>
      <x:c r="F44" s="73" t="n">
        <x:v>1</x:v>
      </x:c>
      <x:c r="G44" s="59" t="n">
        <x:v>264.8399963378906</x:v>
      </x:c>
      <x:c r="H44" s="23" t="str">
        <x:v>raw_open × adjusted_close / raw_close</x:v>
      </x:c>
      <x:c r="I44" s="76" t="str">
        <x:v>https://query1.finance.yahoo.com/v8/finance/chart/COHR?period1=1779284110&amp;period2=1785815999&amp;interval=1d&amp;events=div%2Csplits&amp;includeAdjustedClose=true</x:v>
      </x:c>
      <x:c r="J44" s="23" t="str">
        <x:v>R0 방법론 검증 전용</x:v>
      </x:c>
    </x:row>
    <x:row r="45">
      <x:c r="A45" s="23" t="str">
        <x:v>COHR</x:v>
      </x:c>
      <x:c r="B45" s="53" t="n">
        <x:v>46223.5625</x:v>
      </x:c>
      <x:c r="C45" s="59" t="n">
        <x:v>288.6499938964844</x:v>
      </x:c>
      <x:c r="D45" s="59" t="n">
        <x:v>285.3999938964844</x:v>
      </x:c>
      <x:c r="E45" s="59" t="n">
        <x:v>285.3999938964844</x:v>
      </x:c>
      <x:c r="F45" s="73" t="n">
        <x:v>1</x:v>
      </x:c>
      <x:c r="G45" s="59" t="n">
        <x:v>288.6499938964844</x:v>
      </x:c>
      <x:c r="H45" s="23" t="str">
        <x:v>raw_open × adjusted_close / raw_close</x:v>
      </x:c>
      <x:c r="I45" s="76" t="str">
        <x:v>https://query1.finance.yahoo.com/v8/finance/chart/COHR?period1=1779284110&amp;period2=1785815999&amp;interval=1d&amp;events=div%2Csplits&amp;includeAdjustedClose=true</x:v>
      </x:c>
      <x:c r="J45" s="23" t="str">
        <x:v>R0 방법론 검증 전용</x:v>
      </x:c>
    </x:row>
    <x:row r="46">
      <x:c r="A46" s="23" t="str">
        <x:v>COHR</x:v>
      </x:c>
      <x:c r="B46" s="53" t="n">
        <x:v>46224.5625</x:v>
      </x:c>
      <x:c r="C46" s="59" t="n">
        <x:v>307.260009765625</x:v>
      </x:c>
      <x:c r="D46" s="59" t="n">
        <x:v>317.2200012207031</x:v>
      </x:c>
      <x:c r="E46" s="59" t="n">
        <x:v>317.2200012207031</x:v>
      </x:c>
      <x:c r="F46" s="73" t="n">
        <x:v>1</x:v>
      </x:c>
      <x:c r="G46" s="59" t="n">
        <x:v>307.260009765625</x:v>
      </x:c>
      <x:c r="H46" s="23" t="str">
        <x:v>raw_open × adjusted_close / raw_close</x:v>
      </x:c>
      <x:c r="I46" s="76" t="str">
        <x:v>https://query1.finance.yahoo.com/v8/finance/chart/COHR?period1=1779284110&amp;period2=1785815999&amp;interval=1d&amp;events=div%2Csplits&amp;includeAdjustedClose=true</x:v>
      </x:c>
      <x:c r="J46" s="23" t="str">
        <x:v>R0 방법론 검증 전용</x:v>
      </x:c>
    </x:row>
    <x:row r="47">
      <x:c r="A47" s="23" t="str">
        <x:v>COHR</x:v>
      </x:c>
      <x:c r="B47" s="53" t="n">
        <x:v>46225.5625</x:v>
      </x:c>
      <x:c r="C47" s="59" t="n">
        <x:v>306.67999267578125</x:v>
      </x:c>
      <x:c r="D47" s="59" t="n">
        <x:v>312.19000244140625</x:v>
      </x:c>
      <x:c r="E47" s="59" t="n">
        <x:v>312.19000244140625</x:v>
      </x:c>
      <x:c r="F47" s="73" t="n">
        <x:v>1</x:v>
      </x:c>
      <x:c r="G47" s="59" t="n">
        <x:v>306.67999267578125</x:v>
      </x:c>
      <x:c r="H47" s="23" t="str">
        <x:v>raw_open × adjusted_close / raw_close</x:v>
      </x:c>
      <x:c r="I47" s="76" t="str">
        <x:v>https://query1.finance.yahoo.com/v8/finance/chart/COHR?period1=1779284110&amp;period2=1785815999&amp;interval=1d&amp;events=div%2Csplits&amp;includeAdjustedClose=true</x:v>
      </x:c>
      <x:c r="J47" s="23" t="str">
        <x:v>R0 방법론 검증 전용</x:v>
      </x:c>
    </x:row>
    <x:row r="48">
      <x:c r="A48" s="23" t="str">
        <x:v>COHR</x:v>
      </x:c>
      <x:c r="B48" s="53" t="n">
        <x:v>46226.5625</x:v>
      </x:c>
      <x:c r="C48" s="59" t="n">
        <x:v>308.739990234375</x:v>
      </x:c>
      <x:c r="D48" s="59" t="n">
        <x:v>313.2200012207031</x:v>
      </x:c>
      <x:c r="E48" s="59" t="n">
        <x:v>313.2200012207031</x:v>
      </x:c>
      <x:c r="F48" s="73" t="n">
        <x:v>1</x:v>
      </x:c>
      <x:c r="G48" s="59" t="n">
        <x:v>308.739990234375</x:v>
      </x:c>
      <x:c r="H48" s="23" t="str">
        <x:v>raw_open × adjusted_close / raw_close</x:v>
      </x:c>
      <x:c r="I48" s="76" t="str">
        <x:v>https://query1.finance.yahoo.com/v8/finance/chart/COHR?period1=1779284110&amp;period2=1785815999&amp;interval=1d&amp;events=div%2Csplits&amp;includeAdjustedClose=true</x:v>
      </x:c>
      <x:c r="J48" s="23" t="str">
        <x:v>R0 방법론 검증 전용</x:v>
      </x:c>
    </x:row>
    <x:row r="49">
      <x:c r="A49" s="23" t="str">
        <x:v>COHR</x:v>
      </x:c>
      <x:c r="B49" s="53" t="n">
        <x:v>46227.5625</x:v>
      </x:c>
      <x:c r="C49" s="59" t="n">
        <x:v>306</x:v>
      </x:c>
      <x:c r="D49" s="59" t="n">
        <x:v>282.3900146484375</x:v>
      </x:c>
      <x:c r="E49" s="59" t="n">
        <x:v>282.3900146484375</x:v>
      </x:c>
      <x:c r="F49" s="73" t="n">
        <x:v>1</x:v>
      </x:c>
      <x:c r="G49" s="59" t="n">
        <x:v>306</x:v>
      </x:c>
      <x:c r="H49" s="23" t="str">
        <x:v>raw_open × adjusted_close / raw_close</x:v>
      </x:c>
      <x:c r="I49" s="76" t="str">
        <x:v>https://query1.finance.yahoo.com/v8/finance/chart/COHR?period1=1779284110&amp;period2=1785815999&amp;interval=1d&amp;events=div%2Csplits&amp;includeAdjustedClose=true</x:v>
      </x:c>
      <x:c r="J49" s="23" t="str">
        <x:v>R0 방법론 검증 전용</x:v>
      </x:c>
    </x:row>
    <x:row r="50">
      <x:c r="A50" s="23" t="str">
        <x:v>COHR</x:v>
      </x:c>
      <x:c r="B50" s="53" t="n">
        <x:v>46230.5625</x:v>
      </x:c>
      <x:c r="C50" s="59" t="n">
        <x:v>282.1199951171875</x:v>
      </x:c>
      <x:c r="D50" s="59" t="n">
        <x:v>271.30999755859375</x:v>
      </x:c>
      <x:c r="E50" s="59" t="n">
        <x:v>271.30999755859375</x:v>
      </x:c>
      <x:c r="F50" s="73" t="n">
        <x:v>1</x:v>
      </x:c>
      <x:c r="G50" s="59" t="n">
        <x:v>282.1199951171875</x:v>
      </x:c>
      <x:c r="H50" s="23" t="str">
        <x:v>raw_open × adjusted_close / raw_close</x:v>
      </x:c>
      <x:c r="I50" s="76" t="str">
        <x:v>https://query1.finance.yahoo.com/v8/finance/chart/COHR?period1=1779284110&amp;period2=1785815999&amp;interval=1d&amp;events=div%2Csplits&amp;includeAdjustedClose=true</x:v>
      </x:c>
      <x:c r="J50" s="23" t="str">
        <x:v>R0 방법론 검증 전용</x:v>
      </x:c>
    </x:row>
    <x:row r="51">
      <x:c r="A51" s="23" t="str">
        <x:v>COHR</x:v>
      </x:c>
      <x:c r="B51" s="53" t="n">
        <x:v>46231.5625</x:v>
      </x:c>
      <x:c r="C51" s="59" t="n">
        <x:v>257.2799987792969</x:v>
      </x:c>
      <x:c r="D51" s="59" t="n">
        <x:v>243.3300018310547</x:v>
      </x:c>
      <x:c r="E51" s="59" t="n">
        <x:v>243.3300018310547</x:v>
      </x:c>
      <x:c r="F51" s="73" t="n">
        <x:v>1</x:v>
      </x:c>
      <x:c r="G51" s="59" t="n">
        <x:v>257.2799987792969</x:v>
      </x:c>
      <x:c r="H51" s="23" t="str">
        <x:v>raw_open × adjusted_close / raw_close</x:v>
      </x:c>
      <x:c r="I51" s="76" t="str">
        <x:v>https://query1.finance.yahoo.com/v8/finance/chart/COHR?period1=1779284110&amp;period2=1785815999&amp;interval=1d&amp;events=div%2Csplits&amp;includeAdjustedClose=true</x:v>
      </x:c>
      <x:c r="J51" s="23" t="str">
        <x:v>R0 방법론 검증 전용</x:v>
      </x:c>
    </x:row>
    <x:row r="52">
      <x:c r="A52" s="23" t="str">
        <x:v>COHR</x:v>
      </x:c>
      <x:c r="B52" s="53" t="n">
        <x:v>46232.5625</x:v>
      </x:c>
      <x:c r="C52" s="59" t="n">
        <x:v>243.92999267578125</x:v>
      </x:c>
      <x:c r="D52" s="59" t="n">
        <x:v>222.0500030517578</x:v>
      </x:c>
      <x:c r="E52" s="59" t="n">
        <x:v>222.0500030517578</x:v>
      </x:c>
      <x:c r="F52" s="73" t="n">
        <x:v>1</x:v>
      </x:c>
      <x:c r="G52" s="59" t="n">
        <x:v>243.92999267578125</x:v>
      </x:c>
      <x:c r="H52" s="23" t="str">
        <x:v>raw_open × adjusted_close / raw_close</x:v>
      </x:c>
      <x:c r="I52" s="76" t="str">
        <x:v>https://query1.finance.yahoo.com/v8/finance/chart/COHR?period1=1779284110&amp;period2=1785815999&amp;interval=1d&amp;events=div%2Csplits&amp;includeAdjustedClose=true</x:v>
      </x:c>
      <x:c r="J52" s="23" t="str">
        <x:v>R0 방법론 검증 전용</x:v>
      </x:c>
    </x:row>
    <x:row r="53">
      <x:c r="A53" s="23" t="str">
        <x:v>COHR</x:v>
      </x:c>
      <x:c r="B53" s="53" t="n">
        <x:v>46233.5625</x:v>
      </x:c>
      <x:c r="C53" s="59" t="n">
        <x:v>243.39999389648438</x:v>
      </x:c>
      <x:c r="D53" s="59" t="n">
        <x:v>249.05999755859375</x:v>
      </x:c>
      <x:c r="E53" s="59" t="n">
        <x:v>249.05999755859375</x:v>
      </x:c>
      <x:c r="F53" s="73" t="n">
        <x:v>1</x:v>
      </x:c>
      <x:c r="G53" s="59" t="n">
        <x:v>243.39999389648438</x:v>
      </x:c>
      <x:c r="H53" s="23" t="str">
        <x:v>raw_open × adjusted_close / raw_close</x:v>
      </x:c>
      <x:c r="I53" s="76" t="str">
        <x:v>https://query1.finance.yahoo.com/v8/finance/chart/COHR?period1=1779284110&amp;period2=1785815999&amp;interval=1d&amp;events=div%2Csplits&amp;includeAdjustedClose=true</x:v>
      </x:c>
      <x:c r="J53" s="23" t="str">
        <x:v>R0 방법론 검증 전용</x:v>
      </x:c>
    </x:row>
    <x:row r="54">
      <x:c r="A54" s="23" t="str">
        <x:v>COHR</x:v>
      </x:c>
      <x:c r="B54" s="53" t="n">
        <x:v>46234.5625</x:v>
      </x:c>
      <x:c r="C54" s="59" t="n">
        <x:v>275.8999938964844</x:v>
      </x:c>
      <x:c r="D54" s="59" t="n">
        <x:v>262.8900146484375</x:v>
      </x:c>
      <x:c r="E54" s="59" t="n">
        <x:v>262.8900146484375</x:v>
      </x:c>
      <x:c r="F54" s="73" t="n">
        <x:v>1</x:v>
      </x:c>
      <x:c r="G54" s="59" t="n">
        <x:v>275.8999938964844</x:v>
      </x:c>
      <x:c r="H54" s="23" t="str">
        <x:v>raw_open × adjusted_close / raw_close</x:v>
      </x:c>
      <x:c r="I54" s="76" t="str">
        <x:v>https://query1.finance.yahoo.com/v8/finance/chart/COHR?period1=1779284110&amp;period2=1785815999&amp;interval=1d&amp;events=div%2Csplits&amp;includeAdjustedClose=true</x:v>
      </x:c>
      <x:c r="J54" s="23" t="str">
        <x:v>R0 방법론 검증 전용</x:v>
      </x:c>
    </x:row>
    <x:row r="55">
      <x:c r="A55" s="23" t="str">
        <x:v>AAOI</x:v>
      </x:c>
      <x:c r="B55" s="53" t="n">
        <x:v>46162.5625</x:v>
      </x:c>
      <x:c r="C55" s="59" t="n">
        <x:v>177</x:v>
      </x:c>
      <x:c r="D55" s="59" t="n">
        <x:v>165.25999450683594</x:v>
      </x:c>
      <x:c r="E55" s="59" t="n">
        <x:v>165.25999450683594</x:v>
      </x:c>
      <x:c r="F55" s="73" t="n">
        <x:v>1</x:v>
      </x:c>
      <x:c r="G55" s="59" t="n">
        <x:v>177</x:v>
      </x:c>
      <x:c r="H55" s="23" t="str">
        <x:v>raw_open × adjusted_close / raw_close</x:v>
      </x:c>
      <x:c r="I55" s="76" t="str">
        <x:v>https://query1.finance.yahoo.com/v8/finance/chart/AAOI?period1=1779284110&amp;period2=1785815999&amp;interval=1d&amp;events=div%2Csplits&amp;includeAdjustedClose=true</x:v>
      </x:c>
      <x:c r="J55" s="23" t="str">
        <x:v>R0 방법론 검증 전용</x:v>
      </x:c>
    </x:row>
    <x:row r="56">
      <x:c r="A56" s="23" t="str">
        <x:v>AAOI</x:v>
      </x:c>
      <x:c r="B56" s="53" t="n">
        <x:v>46163.5625</x:v>
      </x:c>
      <x:c r="C56" s="59" t="n">
        <x:v>167.00999450683594</x:v>
      </x:c>
      <x:c r="D56" s="59" t="n">
        <x:v>176.80999755859375</x:v>
      </x:c>
      <x:c r="E56" s="59" t="n">
        <x:v>176.80999755859375</x:v>
      </x:c>
      <x:c r="F56" s="73" t="n">
        <x:v>1</x:v>
      </x:c>
      <x:c r="G56" s="59" t="n">
        <x:v>167.00999450683594</x:v>
      </x:c>
      <x:c r="H56" s="23" t="str">
        <x:v>raw_open × adjusted_close / raw_close</x:v>
      </x:c>
      <x:c r="I56" s="76" t="str">
        <x:v>https://query1.finance.yahoo.com/v8/finance/chart/AAOI?period1=1779284110&amp;period2=1785815999&amp;interval=1d&amp;events=div%2Csplits&amp;includeAdjustedClose=true</x:v>
      </x:c>
      <x:c r="J56" s="23" t="str">
        <x:v>R0 방법론 검증 전용</x:v>
      </x:c>
    </x:row>
    <x:row r="57">
      <x:c r="A57" s="23" t="str">
        <x:v>AAOI</x:v>
      </x:c>
      <x:c r="B57" s="53" t="n">
        <x:v>46164.5625</x:v>
      </x:c>
      <x:c r="C57" s="59" t="n">
        <x:v>176.24000549316406</x:v>
      </x:c>
      <x:c r="D57" s="59" t="n">
        <x:v>181.49000549316406</x:v>
      </x:c>
      <x:c r="E57" s="59" t="n">
        <x:v>181.49000549316406</x:v>
      </x:c>
      <x:c r="F57" s="73" t="n">
        <x:v>1</x:v>
      </x:c>
      <x:c r="G57" s="59" t="n">
        <x:v>176.24000549316406</x:v>
      </x:c>
      <x:c r="H57" s="23" t="str">
        <x:v>raw_open × adjusted_close / raw_close</x:v>
      </x:c>
      <x:c r="I57" s="76" t="str">
        <x:v>https://query1.finance.yahoo.com/v8/finance/chart/AAOI?period1=1779284110&amp;period2=1785815999&amp;interval=1d&amp;events=div%2Csplits&amp;includeAdjustedClose=true</x:v>
      </x:c>
      <x:c r="J57" s="23" t="str">
        <x:v>R0 방법론 검증 전용</x:v>
      </x:c>
    </x:row>
    <x:row r="58">
      <x:c r="A58" s="23" t="str">
        <x:v>AAOI</x:v>
      </x:c>
      <x:c r="B58" s="53" t="n">
        <x:v>46168.5625</x:v>
      </x:c>
      <x:c r="C58" s="59" t="n">
        <x:v>186.72500610351562</x:v>
      </x:c>
      <x:c r="D58" s="59" t="n">
        <x:v>177.6199951171875</x:v>
      </x:c>
      <x:c r="E58" s="59" t="n">
        <x:v>177.6199951171875</x:v>
      </x:c>
      <x:c r="F58" s="73" t="n">
        <x:v>1</x:v>
      </x:c>
      <x:c r="G58" s="59" t="n">
        <x:v>186.72500610351562</x:v>
      </x:c>
      <x:c r="H58" s="23" t="str">
        <x:v>raw_open × adjusted_close / raw_close</x:v>
      </x:c>
      <x:c r="I58" s="76" t="str">
        <x:v>https://query1.finance.yahoo.com/v8/finance/chart/AAOI?period1=1779284110&amp;period2=1785815999&amp;interval=1d&amp;events=div%2Csplits&amp;includeAdjustedClose=true</x:v>
      </x:c>
      <x:c r="J58" s="23" t="str">
        <x:v>R0 방법론 검증 전용</x:v>
      </x:c>
    </x:row>
    <x:row r="59">
      <x:c r="A59" s="23" t="str">
        <x:v>AAOI</x:v>
      </x:c>
      <x:c r="B59" s="53" t="n">
        <x:v>46169.5625</x:v>
      </x:c>
      <x:c r="C59" s="59" t="n">
        <x:v>172.5050048828125</x:v>
      </x:c>
      <x:c r="D59" s="59" t="n">
        <x:v>179.8300018310547</x:v>
      </x:c>
      <x:c r="E59" s="59" t="n">
        <x:v>179.8300018310547</x:v>
      </x:c>
      <x:c r="F59" s="73" t="n">
        <x:v>1</x:v>
      </x:c>
      <x:c r="G59" s="59" t="n">
        <x:v>172.5050048828125</x:v>
      </x:c>
      <x:c r="H59" s="23" t="str">
        <x:v>raw_open × adjusted_close / raw_close</x:v>
      </x:c>
      <x:c r="I59" s="76" t="str">
        <x:v>https://query1.finance.yahoo.com/v8/finance/chart/AAOI?period1=1779284110&amp;period2=1785815999&amp;interval=1d&amp;events=div%2Csplits&amp;includeAdjustedClose=true</x:v>
      </x:c>
      <x:c r="J59" s="23" t="str">
        <x:v>R0 방법론 검증 전용</x:v>
      </x:c>
    </x:row>
    <x:row r="60">
      <x:c r="A60" s="23" t="str">
        <x:v>AAOI</x:v>
      </x:c>
      <x:c r="B60" s="53" t="n">
        <x:v>46170.5625</x:v>
      </x:c>
      <x:c r="C60" s="59" t="n">
        <x:v>181</x:v>
      </x:c>
      <x:c r="D60" s="59" t="n">
        <x:v>169.02000427246094</x:v>
      </x:c>
      <x:c r="E60" s="59" t="n">
        <x:v>169.02000427246094</x:v>
      </x:c>
      <x:c r="F60" s="73" t="n">
        <x:v>1</x:v>
      </x:c>
      <x:c r="G60" s="59" t="n">
        <x:v>181</x:v>
      </x:c>
      <x:c r="H60" s="23" t="str">
        <x:v>raw_open × adjusted_close / raw_close</x:v>
      </x:c>
      <x:c r="I60" s="76" t="str">
        <x:v>https://query1.finance.yahoo.com/v8/finance/chart/AAOI?period1=1779284110&amp;period2=1785815999&amp;interval=1d&amp;events=div%2Csplits&amp;includeAdjustedClose=true</x:v>
      </x:c>
      <x:c r="J60" s="23" t="str">
        <x:v>R0 방법론 검증 전용</x:v>
      </x:c>
    </x:row>
    <x:row r="61">
      <x:c r="A61" s="23" t="str">
        <x:v>AAOI</x:v>
      </x:c>
      <x:c r="B61" s="53" t="n">
        <x:v>46171.5625</x:v>
      </x:c>
      <x:c r="C61" s="59" t="n">
        <x:v>168.5500030517578</x:v>
      </x:c>
      <x:c r="D61" s="59" t="n">
        <x:v>158.41000366210938</x:v>
      </x:c>
      <x:c r="E61" s="59" t="n">
        <x:v>158.41000366210938</x:v>
      </x:c>
      <x:c r="F61" s="73" t="n">
        <x:v>1</x:v>
      </x:c>
      <x:c r="G61" s="59" t="n">
        <x:v>168.5500030517578</x:v>
      </x:c>
      <x:c r="H61" s="23" t="str">
        <x:v>raw_open × adjusted_close / raw_close</x:v>
      </x:c>
      <x:c r="I61" s="76" t="str">
        <x:v>https://query1.finance.yahoo.com/v8/finance/chart/AAOI?period1=1779284110&amp;period2=1785815999&amp;interval=1d&amp;events=div%2Csplits&amp;includeAdjustedClose=true</x:v>
      </x:c>
      <x:c r="J61" s="23" t="str">
        <x:v>R0 방법론 검증 전용</x:v>
      </x:c>
    </x:row>
    <x:row r="62">
      <x:c r="A62" s="23" t="str">
        <x:v>AAOI</x:v>
      </x:c>
      <x:c r="B62" s="53" t="n">
        <x:v>46174.5625</x:v>
      </x:c>
      <x:c r="C62" s="59" t="n">
        <x:v>149.25</x:v>
      </x:c>
      <x:c r="D62" s="59" t="n">
        <x:v>185.6699981689453</x:v>
      </x:c>
      <x:c r="E62" s="59" t="n">
        <x:v>185.6699981689453</x:v>
      </x:c>
      <x:c r="F62" s="73" t="n">
        <x:v>1</x:v>
      </x:c>
      <x:c r="G62" s="59" t="n">
        <x:v>149.25</x:v>
      </x:c>
      <x:c r="H62" s="23" t="str">
        <x:v>raw_open × adjusted_close / raw_close</x:v>
      </x:c>
      <x:c r="I62" s="76" t="str">
        <x:v>https://query1.finance.yahoo.com/v8/finance/chart/AAOI?period1=1779284110&amp;period2=1785815999&amp;interval=1d&amp;events=div%2Csplits&amp;includeAdjustedClose=true</x:v>
      </x:c>
      <x:c r="J62" s="23" t="str">
        <x:v>R0 방법론 검증 전용</x:v>
      </x:c>
    </x:row>
    <x:row r="63">
      <x:c r="A63" s="23" t="str">
        <x:v>AAOI</x:v>
      </x:c>
      <x:c r="B63" s="53" t="n">
        <x:v>46175.5625</x:v>
      </x:c>
      <x:c r="C63" s="59" t="n">
        <x:v>195.16000366210938</x:v>
      </x:c>
      <x:c r="D63" s="59" t="n">
        <x:v>202.3699951171875</x:v>
      </x:c>
      <x:c r="E63" s="59" t="n">
        <x:v>202.3699951171875</x:v>
      </x:c>
      <x:c r="F63" s="73" t="n">
        <x:v>1</x:v>
      </x:c>
      <x:c r="G63" s="59" t="n">
        <x:v>195.16000366210938</x:v>
      </x:c>
      <x:c r="H63" s="23" t="str">
        <x:v>raw_open × adjusted_close / raw_close</x:v>
      </x:c>
      <x:c r="I63" s="76" t="str">
        <x:v>https://query1.finance.yahoo.com/v8/finance/chart/AAOI?period1=1779284110&amp;period2=1785815999&amp;interval=1d&amp;events=div%2Csplits&amp;includeAdjustedClose=true</x:v>
      </x:c>
      <x:c r="J63" s="23" t="str">
        <x:v>R0 방법론 검증 전용</x:v>
      </x:c>
    </x:row>
    <x:row r="64">
      <x:c r="A64" s="23" t="str">
        <x:v>AAOI</x:v>
      </x:c>
      <x:c r="B64" s="53" t="n">
        <x:v>46176.5625</x:v>
      </x:c>
      <x:c r="C64" s="59" t="n">
        <x:v>200.5</x:v>
      </x:c>
      <x:c r="D64" s="59" t="n">
        <x:v>184.07000732421875</x:v>
      </x:c>
      <x:c r="E64" s="59" t="n">
        <x:v>184.07000732421875</x:v>
      </x:c>
      <x:c r="F64" s="73" t="n">
        <x:v>1</x:v>
      </x:c>
      <x:c r="G64" s="59" t="n">
        <x:v>200.5</x:v>
      </x:c>
      <x:c r="H64" s="23" t="str">
        <x:v>raw_open × adjusted_close / raw_close</x:v>
      </x:c>
      <x:c r="I64" s="76" t="str">
        <x:v>https://query1.finance.yahoo.com/v8/finance/chart/AAOI?period1=1779284110&amp;period2=1785815999&amp;interval=1d&amp;events=div%2Csplits&amp;includeAdjustedClose=true</x:v>
      </x:c>
      <x:c r="J64" s="23" t="str">
        <x:v>R0 방법론 검증 전용</x:v>
      </x:c>
    </x:row>
    <x:row r="65">
      <x:c r="A65" s="23" t="str">
        <x:v>AAOI</x:v>
      </x:c>
      <x:c r="B65" s="53" t="n">
        <x:v>46177.5625</x:v>
      </x:c>
      <x:c r="C65" s="59" t="n">
        <x:v>173.46499633789062</x:v>
      </x:c>
      <x:c r="D65" s="59" t="n">
        <x:v>202.88999938964844</x:v>
      </x:c>
      <x:c r="E65" s="59" t="n">
        <x:v>202.88999938964844</x:v>
      </x:c>
      <x:c r="F65" s="73" t="n">
        <x:v>1</x:v>
      </x:c>
      <x:c r="G65" s="59" t="n">
        <x:v>173.46499633789062</x:v>
      </x:c>
      <x:c r="H65" s="23" t="str">
        <x:v>raw_open × adjusted_close / raw_close</x:v>
      </x:c>
      <x:c r="I65" s="76" t="str">
        <x:v>https://query1.finance.yahoo.com/v8/finance/chart/AAOI?period1=1779284110&amp;period2=1785815999&amp;interval=1d&amp;events=div%2Csplits&amp;includeAdjustedClose=true</x:v>
      </x:c>
      <x:c r="J65" s="23" t="str">
        <x:v>R0 방법론 검증 전용</x:v>
      </x:c>
    </x:row>
    <x:row r="66">
      <x:c r="A66" s="23" t="str">
        <x:v>AAOI</x:v>
      </x:c>
      <x:c r="B66" s="53" t="n">
        <x:v>46178.5625</x:v>
      </x:c>
      <x:c r="C66" s="59" t="n">
        <x:v>191.4199981689453</x:v>
      </x:c>
      <x:c r="D66" s="59" t="n">
        <x:v>177</x:v>
      </x:c>
      <x:c r="E66" s="59" t="n">
        <x:v>177</x:v>
      </x:c>
      <x:c r="F66" s="73" t="n">
        <x:v>1</x:v>
      </x:c>
      <x:c r="G66" s="59" t="n">
        <x:v>191.4199981689453</x:v>
      </x:c>
      <x:c r="H66" s="23" t="str">
        <x:v>raw_open × adjusted_close / raw_close</x:v>
      </x:c>
      <x:c r="I66" s="76" t="str">
        <x:v>https://query1.finance.yahoo.com/v8/finance/chart/AAOI?period1=1779284110&amp;period2=1785815999&amp;interval=1d&amp;events=div%2Csplits&amp;includeAdjustedClose=true</x:v>
      </x:c>
      <x:c r="J66" s="23" t="str">
        <x:v>R0 방법론 검증 전용</x:v>
      </x:c>
    </x:row>
    <x:row r="67">
      <x:c r="A67" s="23" t="str">
        <x:v>AAOI</x:v>
      </x:c>
      <x:c r="B67" s="53" t="n">
        <x:v>46181.5625</x:v>
      </x:c>
      <x:c r="C67" s="59" t="n">
        <x:v>184.75</x:v>
      </x:c>
      <x:c r="D67" s="59" t="n">
        <x:v>196.63999938964844</x:v>
      </x:c>
      <x:c r="E67" s="59" t="n">
        <x:v>196.63999938964844</x:v>
      </x:c>
      <x:c r="F67" s="73" t="n">
        <x:v>1</x:v>
      </x:c>
      <x:c r="G67" s="59" t="n">
        <x:v>184.75</x:v>
      </x:c>
      <x:c r="H67" s="23" t="str">
        <x:v>raw_open × adjusted_close / raw_close</x:v>
      </x:c>
      <x:c r="I67" s="76" t="str">
        <x:v>https://query1.finance.yahoo.com/v8/finance/chart/AAOI?period1=1779284110&amp;period2=1785815999&amp;interval=1d&amp;events=div%2Csplits&amp;includeAdjustedClose=true</x:v>
      </x:c>
      <x:c r="J67" s="23" t="str">
        <x:v>R0 방법론 검증 전용</x:v>
      </x:c>
    </x:row>
    <x:row r="68">
      <x:c r="A68" s="23" t="str">
        <x:v>AAOI</x:v>
      </x:c>
      <x:c r="B68" s="53" t="n">
        <x:v>46182.5625</x:v>
      </x:c>
      <x:c r="C68" s="59" t="n">
        <x:v>202.80499267578125</x:v>
      </x:c>
      <x:c r="D68" s="59" t="n">
        <x:v>162.8800048828125</x:v>
      </x:c>
      <x:c r="E68" s="59" t="n">
        <x:v>162.8800048828125</x:v>
      </x:c>
      <x:c r="F68" s="73" t="n">
        <x:v>1</x:v>
      </x:c>
      <x:c r="G68" s="59" t="n">
        <x:v>202.80499267578125</x:v>
      </x:c>
      <x:c r="H68" s="23" t="str">
        <x:v>raw_open × adjusted_close / raw_close</x:v>
      </x:c>
      <x:c r="I68" s="76" t="str">
        <x:v>https://query1.finance.yahoo.com/v8/finance/chart/AAOI?period1=1779284110&amp;period2=1785815999&amp;interval=1d&amp;events=div%2Csplits&amp;includeAdjustedClose=true</x:v>
      </x:c>
      <x:c r="J68" s="23" t="str">
        <x:v>R0 방법론 검증 전용</x:v>
      </x:c>
    </x:row>
    <x:row r="69">
      <x:c r="A69" s="23" t="str">
        <x:v>AAOI</x:v>
      </x:c>
      <x:c r="B69" s="53" t="n">
        <x:v>46183.5625</x:v>
      </x:c>
      <x:c r="C69" s="59" t="n">
        <x:v>171.7899932861328</x:v>
      </x:c>
      <x:c r="D69" s="59" t="n">
        <x:v>175.1300048828125</x:v>
      </x:c>
      <x:c r="E69" s="59" t="n">
        <x:v>175.1300048828125</x:v>
      </x:c>
      <x:c r="F69" s="73" t="n">
        <x:v>1</x:v>
      </x:c>
      <x:c r="G69" s="59" t="n">
        <x:v>171.7899932861328</x:v>
      </x:c>
      <x:c r="H69" s="23" t="str">
        <x:v>raw_open × adjusted_close / raw_close</x:v>
      </x:c>
      <x:c r="I69" s="76" t="str">
        <x:v>https://query1.finance.yahoo.com/v8/finance/chart/AAOI?period1=1779284110&amp;period2=1785815999&amp;interval=1d&amp;events=div%2Csplits&amp;includeAdjustedClose=true</x:v>
      </x:c>
      <x:c r="J69" s="23" t="str">
        <x:v>R0 방법론 검증 전용</x:v>
      </x:c>
    </x:row>
    <x:row r="70">
      <x:c r="A70" s="23" t="str">
        <x:v>AAOI</x:v>
      </x:c>
      <x:c r="B70" s="53" t="n">
        <x:v>46184.5625</x:v>
      </x:c>
      <x:c r="C70" s="59" t="n">
        <x:v>167.55499267578125</x:v>
      </x:c>
      <x:c r="D70" s="59" t="n">
        <x:v>172.77999877929688</x:v>
      </x:c>
      <x:c r="E70" s="59" t="n">
        <x:v>172.77999877929688</x:v>
      </x:c>
      <x:c r="F70" s="73" t="n">
        <x:v>1</x:v>
      </x:c>
      <x:c r="G70" s="59" t="n">
        <x:v>167.55499267578125</x:v>
      </x:c>
      <x:c r="H70" s="23" t="str">
        <x:v>raw_open × adjusted_close / raw_close</x:v>
      </x:c>
      <x:c r="I70" s="76" t="str">
        <x:v>https://query1.finance.yahoo.com/v8/finance/chart/AAOI?period1=1779284110&amp;period2=1785815999&amp;interval=1d&amp;events=div%2Csplits&amp;includeAdjustedClose=true</x:v>
      </x:c>
      <x:c r="J70" s="23" t="str">
        <x:v>R0 방법론 검증 전용</x:v>
      </x:c>
    </x:row>
    <x:row r="71">
      <x:c r="A71" s="23" t="str">
        <x:v>AAOI</x:v>
      </x:c>
      <x:c r="B71" s="53" t="n">
        <x:v>46185.5625</x:v>
      </x:c>
      <x:c r="C71" s="59" t="n">
        <x:v>173.13999938964844</x:v>
      </x:c>
      <x:c r="D71" s="59" t="n">
        <x:v>169.0500030517578</x:v>
      </x:c>
      <x:c r="E71" s="59" t="n">
        <x:v>169.0500030517578</x:v>
      </x:c>
      <x:c r="F71" s="73" t="n">
        <x:v>1</x:v>
      </x:c>
      <x:c r="G71" s="59" t="n">
        <x:v>173.13999938964844</x:v>
      </x:c>
      <x:c r="H71" s="23" t="str">
        <x:v>raw_open × adjusted_close / raw_close</x:v>
      </x:c>
      <x:c r="I71" s="76" t="str">
        <x:v>https://query1.finance.yahoo.com/v8/finance/chart/AAOI?period1=1779284110&amp;period2=1785815999&amp;interval=1d&amp;events=div%2Csplits&amp;includeAdjustedClose=true</x:v>
      </x:c>
      <x:c r="J71" s="23" t="str">
        <x:v>R0 방법론 검증 전용</x:v>
      </x:c>
    </x:row>
    <x:row r="72">
      <x:c r="A72" s="23" t="str">
        <x:v>AAOI</x:v>
      </x:c>
      <x:c r="B72" s="53" t="n">
        <x:v>46188.5625</x:v>
      </x:c>
      <x:c r="C72" s="59" t="n">
        <x:v>177.27000427246094</x:v>
      </x:c>
      <x:c r="D72" s="59" t="n">
        <x:v>191.5500030517578</x:v>
      </x:c>
      <x:c r="E72" s="59" t="n">
        <x:v>191.5500030517578</x:v>
      </x:c>
      <x:c r="F72" s="73" t="n">
        <x:v>1</x:v>
      </x:c>
      <x:c r="G72" s="59" t="n">
        <x:v>177.27000427246094</x:v>
      </x:c>
      <x:c r="H72" s="23" t="str">
        <x:v>raw_open × adjusted_close / raw_close</x:v>
      </x:c>
      <x:c r="I72" s="76" t="str">
        <x:v>https://query1.finance.yahoo.com/v8/finance/chart/AAOI?period1=1779284110&amp;period2=1785815999&amp;interval=1d&amp;events=div%2Csplits&amp;includeAdjustedClose=true</x:v>
      </x:c>
      <x:c r="J72" s="23" t="str">
        <x:v>R0 방법론 검증 전용</x:v>
      </x:c>
    </x:row>
    <x:row r="73">
      <x:c r="A73" s="23" t="str">
        <x:v>AAOI</x:v>
      </x:c>
      <x:c r="B73" s="53" t="n">
        <x:v>46189.5625</x:v>
      </x:c>
      <x:c r="C73" s="59" t="n">
        <x:v>194.2100067138672</x:v>
      </x:c>
      <x:c r="D73" s="59" t="n">
        <x:v>170.80999755859375</x:v>
      </x:c>
      <x:c r="E73" s="59" t="n">
        <x:v>170.80999755859375</x:v>
      </x:c>
      <x:c r="F73" s="73" t="n">
        <x:v>1</x:v>
      </x:c>
      <x:c r="G73" s="59" t="n">
        <x:v>194.2100067138672</x:v>
      </x:c>
      <x:c r="H73" s="23" t="str">
        <x:v>raw_open × adjusted_close / raw_close</x:v>
      </x:c>
      <x:c r="I73" s="76" t="str">
        <x:v>https://query1.finance.yahoo.com/v8/finance/chart/AAOI?period1=1779284110&amp;period2=1785815999&amp;interval=1d&amp;events=div%2Csplits&amp;includeAdjustedClose=true</x:v>
      </x:c>
      <x:c r="J73" s="23" t="str">
        <x:v>R0 방법론 검증 전용</x:v>
      </x:c>
    </x:row>
    <x:row r="74">
      <x:c r="A74" s="23" t="str">
        <x:v>AAOI</x:v>
      </x:c>
      <x:c r="B74" s="53" t="n">
        <x:v>46190.5625</x:v>
      </x:c>
      <x:c r="C74" s="59" t="n">
        <x:v>174.71499633789062</x:v>
      </x:c>
      <x:c r="D74" s="59" t="n">
        <x:v>167.33999633789062</x:v>
      </x:c>
      <x:c r="E74" s="59" t="n">
        <x:v>167.33999633789062</x:v>
      </x:c>
      <x:c r="F74" s="73" t="n">
        <x:v>1</x:v>
      </x:c>
      <x:c r="G74" s="59" t="n">
        <x:v>174.71499633789062</x:v>
      </x:c>
      <x:c r="H74" s="23" t="str">
        <x:v>raw_open × adjusted_close / raw_close</x:v>
      </x:c>
      <x:c r="I74" s="76" t="str">
        <x:v>https://query1.finance.yahoo.com/v8/finance/chart/AAOI?period1=1779284110&amp;period2=1785815999&amp;interval=1d&amp;events=div%2Csplits&amp;includeAdjustedClose=true</x:v>
      </x:c>
      <x:c r="J74" s="23" t="str">
        <x:v>R0 방법론 검증 전용</x:v>
      </x:c>
    </x:row>
    <x:row r="75">
      <x:c r="A75" s="23" t="str">
        <x:v>AAOI</x:v>
      </x:c>
      <x:c r="B75" s="53" t="n">
        <x:v>46191.5625</x:v>
      </x:c>
      <x:c r="C75" s="59" t="n">
        <x:v>174.64999389648438</x:v>
      </x:c>
      <x:c r="D75" s="59" t="n">
        <x:v>161.85000610351562</x:v>
      </x:c>
      <x:c r="E75" s="59" t="n">
        <x:v>161.85000610351562</x:v>
      </x:c>
      <x:c r="F75" s="73" t="n">
        <x:v>1</x:v>
      </x:c>
      <x:c r="G75" s="59" t="n">
        <x:v>174.64999389648438</x:v>
      </x:c>
      <x:c r="H75" s="23" t="str">
        <x:v>raw_open × adjusted_close / raw_close</x:v>
      </x:c>
      <x:c r="I75" s="76" t="str">
        <x:v>https://query1.finance.yahoo.com/v8/finance/chart/AAOI?period1=1779284110&amp;period2=1785815999&amp;interval=1d&amp;events=div%2Csplits&amp;includeAdjustedClose=true</x:v>
      </x:c>
      <x:c r="J75" s="23" t="str">
        <x:v>R0 방법론 검증 전용</x:v>
      </x:c>
    </x:row>
    <x:row r="76">
      <x:c r="A76" s="23" t="str">
        <x:v>AAOI</x:v>
      </x:c>
      <x:c r="B76" s="53" t="n">
        <x:v>46195.5625</x:v>
      </x:c>
      <x:c r="C76" s="59" t="n">
        <x:v>162.9149932861328</x:v>
      </x:c>
      <x:c r="D76" s="59" t="n">
        <x:v>171.22999572753906</x:v>
      </x:c>
      <x:c r="E76" s="59" t="n">
        <x:v>171.22999572753906</x:v>
      </x:c>
      <x:c r="F76" s="73" t="n">
        <x:v>1</x:v>
      </x:c>
      <x:c r="G76" s="59" t="n">
        <x:v>162.9149932861328</x:v>
      </x:c>
      <x:c r="H76" s="23" t="str">
        <x:v>raw_open × adjusted_close / raw_close</x:v>
      </x:c>
      <x:c r="I76" s="76" t="str">
        <x:v>https://query1.finance.yahoo.com/v8/finance/chart/AAOI?period1=1779284110&amp;period2=1785815999&amp;interval=1d&amp;events=div%2Csplits&amp;includeAdjustedClose=true</x:v>
      </x:c>
      <x:c r="J76" s="23" t="str">
        <x:v>R0 방법론 검증 전용</x:v>
      </x:c>
    </x:row>
    <x:row r="77">
      <x:c r="A77" s="23" t="str">
        <x:v>AAOI</x:v>
      </x:c>
      <x:c r="B77" s="53" t="n">
        <x:v>46196.5625</x:v>
      </x:c>
      <x:c r="C77" s="59" t="n">
        <x:v>158</x:v>
      </x:c>
      <x:c r="D77" s="59" t="n">
        <x:v>147.44000244140625</x:v>
      </x:c>
      <x:c r="E77" s="59" t="n">
        <x:v>147.44000244140625</x:v>
      </x:c>
      <x:c r="F77" s="73" t="n">
        <x:v>1</x:v>
      </x:c>
      <x:c r="G77" s="59" t="n">
        <x:v>158</x:v>
      </x:c>
      <x:c r="H77" s="23" t="str">
        <x:v>raw_open × adjusted_close / raw_close</x:v>
      </x:c>
      <x:c r="I77" s="76" t="str">
        <x:v>https://query1.finance.yahoo.com/v8/finance/chart/AAOI?period1=1779284110&amp;period2=1785815999&amp;interval=1d&amp;events=div%2Csplits&amp;includeAdjustedClose=true</x:v>
      </x:c>
      <x:c r="J77" s="23" t="str">
        <x:v>R0 방법론 검증 전용</x:v>
      </x:c>
    </x:row>
    <x:row r="78">
      <x:c r="A78" s="23" t="str">
        <x:v>AAOI</x:v>
      </x:c>
      <x:c r="B78" s="53" t="n">
        <x:v>46197.5625</x:v>
      </x:c>
      <x:c r="C78" s="59" t="n">
        <x:v>149.50999450683594</x:v>
      </x:c>
      <x:c r="D78" s="59" t="n">
        <x:v>146.97000122070312</x:v>
      </x:c>
      <x:c r="E78" s="59" t="n">
        <x:v>146.97000122070312</x:v>
      </x:c>
      <x:c r="F78" s="73" t="n">
        <x:v>1</x:v>
      </x:c>
      <x:c r="G78" s="59" t="n">
        <x:v>149.50999450683594</x:v>
      </x:c>
      <x:c r="H78" s="23" t="str">
        <x:v>raw_open × adjusted_close / raw_close</x:v>
      </x:c>
      <x:c r="I78" s="76" t="str">
        <x:v>https://query1.finance.yahoo.com/v8/finance/chart/AAOI?period1=1779284110&amp;period2=1785815999&amp;interval=1d&amp;events=div%2Csplits&amp;includeAdjustedClose=true</x:v>
      </x:c>
      <x:c r="J78" s="23" t="str">
        <x:v>R0 방법론 검증 전용</x:v>
      </x:c>
    </x:row>
    <x:row r="79">
      <x:c r="A79" s="23" t="str">
        <x:v>AAOI</x:v>
      </x:c>
      <x:c r="B79" s="53" t="n">
        <x:v>46198.5625</x:v>
      </x:c>
      <x:c r="C79" s="59" t="n">
        <x:v>151.19000244140625</x:v>
      </x:c>
      <x:c r="D79" s="59" t="n">
        <x:v>138.5399932861328</x:v>
      </x:c>
      <x:c r="E79" s="59" t="n">
        <x:v>138.5399932861328</x:v>
      </x:c>
      <x:c r="F79" s="73" t="n">
        <x:v>1</x:v>
      </x:c>
      <x:c r="G79" s="59" t="n">
        <x:v>151.19000244140625</x:v>
      </x:c>
      <x:c r="H79" s="23" t="str">
        <x:v>raw_open × adjusted_close / raw_close</x:v>
      </x:c>
      <x:c r="I79" s="76" t="str">
        <x:v>https://query1.finance.yahoo.com/v8/finance/chart/AAOI?period1=1779284110&amp;period2=1785815999&amp;interval=1d&amp;events=div%2Csplits&amp;includeAdjustedClose=true</x:v>
      </x:c>
      <x:c r="J79" s="23" t="str">
        <x:v>R0 방법론 검증 전용</x:v>
      </x:c>
    </x:row>
    <x:row r="80">
      <x:c r="A80" s="23" t="str">
        <x:v>AAOI</x:v>
      </x:c>
      <x:c r="B80" s="53" t="n">
        <x:v>46199.5625</x:v>
      </x:c>
      <x:c r="C80" s="59" t="n">
        <x:v>131.67999267578125</x:v>
      </x:c>
      <x:c r="D80" s="59" t="n">
        <x:v>135.69000244140625</x:v>
      </x:c>
      <x:c r="E80" s="59" t="n">
        <x:v>135.69000244140625</x:v>
      </x:c>
      <x:c r="F80" s="73" t="n">
        <x:v>1</x:v>
      </x:c>
      <x:c r="G80" s="59" t="n">
        <x:v>131.67999267578125</x:v>
      </x:c>
      <x:c r="H80" s="23" t="str">
        <x:v>raw_open × adjusted_close / raw_close</x:v>
      </x:c>
      <x:c r="I80" s="76" t="str">
        <x:v>https://query1.finance.yahoo.com/v8/finance/chart/AAOI?period1=1779284110&amp;period2=1785815999&amp;interval=1d&amp;events=div%2Csplits&amp;includeAdjustedClose=true</x:v>
      </x:c>
      <x:c r="J80" s="23" t="str">
        <x:v>R0 방법론 검증 전용</x:v>
      </x:c>
    </x:row>
    <x:row r="81">
      <x:c r="A81" s="23" t="str">
        <x:v>AAOI</x:v>
      </x:c>
      <x:c r="B81" s="53" t="n">
        <x:v>46202.5625</x:v>
      </x:c>
      <x:c r="C81" s="59" t="n">
        <x:v>135.42599487304688</x:v>
      </x:c>
      <x:c r="D81" s="59" t="n">
        <x:v>150.10000610351562</x:v>
      </x:c>
      <x:c r="E81" s="59" t="n">
        <x:v>150.10000610351562</x:v>
      </x:c>
      <x:c r="F81" s="73" t="n">
        <x:v>1</x:v>
      </x:c>
      <x:c r="G81" s="59" t="n">
        <x:v>135.42599487304688</x:v>
      </x:c>
      <x:c r="H81" s="23" t="str">
        <x:v>raw_open × adjusted_close / raw_close</x:v>
      </x:c>
      <x:c r="I81" s="76" t="str">
        <x:v>https://query1.finance.yahoo.com/v8/finance/chart/AAOI?period1=1779284110&amp;period2=1785815999&amp;interval=1d&amp;events=div%2Csplits&amp;includeAdjustedClose=true</x:v>
      </x:c>
      <x:c r="J81" s="23" t="str">
        <x:v>R0 방법론 검증 전용</x:v>
      </x:c>
    </x:row>
    <x:row r="82">
      <x:c r="A82" s="23" t="str">
        <x:v>AAOI</x:v>
      </x:c>
      <x:c r="B82" s="53" t="n">
        <x:v>46203.5625</x:v>
      </x:c>
      <x:c r="C82" s="59" t="n">
        <x:v>146.5</x:v>
      </x:c>
      <x:c r="D82" s="59" t="n">
        <x:v>148.16000366210938</x:v>
      </x:c>
      <x:c r="E82" s="59" t="n">
        <x:v>148.16000366210938</x:v>
      </x:c>
      <x:c r="F82" s="73" t="n">
        <x:v>1</x:v>
      </x:c>
      <x:c r="G82" s="59" t="n">
        <x:v>146.5</x:v>
      </x:c>
      <x:c r="H82" s="23" t="str">
        <x:v>raw_open × adjusted_close / raw_close</x:v>
      </x:c>
      <x:c r="I82" s="76" t="str">
        <x:v>https://query1.finance.yahoo.com/v8/finance/chart/AAOI?period1=1779284110&amp;period2=1785815999&amp;interval=1d&amp;events=div%2Csplits&amp;includeAdjustedClose=true</x:v>
      </x:c>
      <x:c r="J82" s="23" t="str">
        <x:v>R0 방법론 검증 전용</x:v>
      </x:c>
    </x:row>
    <x:row r="83">
      <x:c r="A83" s="23" t="str">
        <x:v>AAOI</x:v>
      </x:c>
      <x:c r="B83" s="53" t="n">
        <x:v>46204.5625</x:v>
      </x:c>
      <x:c r="C83" s="59" t="n">
        <x:v>143.55999755859375</x:v>
      </x:c>
      <x:c r="D83" s="59" t="n">
        <x:v>139</x:v>
      </x:c>
      <x:c r="E83" s="59" t="n">
        <x:v>139</x:v>
      </x:c>
      <x:c r="F83" s="73" t="n">
        <x:v>1</x:v>
      </x:c>
      <x:c r="G83" s="59" t="n">
        <x:v>143.55999755859375</x:v>
      </x:c>
      <x:c r="H83" s="23" t="str">
        <x:v>raw_open × adjusted_close / raw_close</x:v>
      </x:c>
      <x:c r="I83" s="76" t="str">
        <x:v>https://query1.finance.yahoo.com/v8/finance/chart/AAOI?period1=1779284110&amp;period2=1785815999&amp;interval=1d&amp;events=div%2Csplits&amp;includeAdjustedClose=true</x:v>
      </x:c>
      <x:c r="J83" s="23" t="str">
        <x:v>R0 방법론 검증 전용</x:v>
      </x:c>
    </x:row>
    <x:row r="84">
      <x:c r="A84" s="23" t="str">
        <x:v>AAOI</x:v>
      </x:c>
      <x:c r="B84" s="53" t="n">
        <x:v>46205.5625</x:v>
      </x:c>
      <x:c r="C84" s="59" t="n">
        <x:v>135.85000610351562</x:v>
      </x:c>
      <x:c r="D84" s="59" t="n">
        <x:v>120.94999694824219</x:v>
      </x:c>
      <x:c r="E84" s="59" t="n">
        <x:v>120.94999694824219</x:v>
      </x:c>
      <x:c r="F84" s="73" t="n">
        <x:v>1</x:v>
      </x:c>
      <x:c r="G84" s="59" t="n">
        <x:v>135.85000610351562</x:v>
      </x:c>
      <x:c r="H84" s="23" t="str">
        <x:v>raw_open × adjusted_close / raw_close</x:v>
      </x:c>
      <x:c r="I84" s="76" t="str">
        <x:v>https://query1.finance.yahoo.com/v8/finance/chart/AAOI?period1=1779284110&amp;period2=1785815999&amp;interval=1d&amp;events=div%2Csplits&amp;includeAdjustedClose=true</x:v>
      </x:c>
      <x:c r="J84" s="23" t="str">
        <x:v>R0 방법론 검증 전용</x:v>
      </x:c>
    </x:row>
    <x:row r="85">
      <x:c r="A85" s="23" t="str">
        <x:v>AAOI</x:v>
      </x:c>
      <x:c r="B85" s="53" t="n">
        <x:v>46209.5625</x:v>
      </x:c>
      <x:c r="C85" s="59" t="n">
        <x:v>120.20500183105469</x:v>
      </x:c>
      <x:c r="D85" s="59" t="n">
        <x:v>123.36000061035156</x:v>
      </x:c>
      <x:c r="E85" s="59" t="n">
        <x:v>123.36000061035156</x:v>
      </x:c>
      <x:c r="F85" s="73" t="n">
        <x:v>1</x:v>
      </x:c>
      <x:c r="G85" s="59" t="n">
        <x:v>120.20500183105469</x:v>
      </x:c>
      <x:c r="H85" s="23" t="str">
        <x:v>raw_open × adjusted_close / raw_close</x:v>
      </x:c>
      <x:c r="I85" s="76" t="str">
        <x:v>https://query1.finance.yahoo.com/v8/finance/chart/AAOI?period1=1779284110&amp;period2=1785815999&amp;interval=1d&amp;events=div%2Csplits&amp;includeAdjustedClose=true</x:v>
      </x:c>
      <x:c r="J85" s="23" t="str">
        <x:v>R0 방법론 검증 전용</x:v>
      </x:c>
    </x:row>
    <x:row r="86">
      <x:c r="A86" s="23" t="str">
        <x:v>AAOI</x:v>
      </x:c>
      <x:c r="B86" s="53" t="n">
        <x:v>46210.5625</x:v>
      </x:c>
      <x:c r="C86" s="59" t="n">
        <x:v>118.1500015258789</x:v>
      </x:c>
      <x:c r="D86" s="59" t="n">
        <x:v>114.41000366210938</x:v>
      </x:c>
      <x:c r="E86" s="59" t="n">
        <x:v>114.41000366210938</x:v>
      </x:c>
      <x:c r="F86" s="73" t="n">
        <x:v>1</x:v>
      </x:c>
      <x:c r="G86" s="59" t="n">
        <x:v>118.1500015258789</x:v>
      </x:c>
      <x:c r="H86" s="23" t="str">
        <x:v>raw_open × adjusted_close / raw_close</x:v>
      </x:c>
      <x:c r="I86" s="76" t="str">
        <x:v>https://query1.finance.yahoo.com/v8/finance/chart/AAOI?period1=1779284110&amp;period2=1785815999&amp;interval=1d&amp;events=div%2Csplits&amp;includeAdjustedClose=true</x:v>
      </x:c>
      <x:c r="J86" s="23" t="str">
        <x:v>R0 방법론 검증 전용</x:v>
      </x:c>
    </x:row>
    <x:row r="87">
      <x:c r="A87" s="23" t="str">
        <x:v>AAOI</x:v>
      </x:c>
      <x:c r="B87" s="53" t="n">
        <x:v>46211.5625</x:v>
      </x:c>
      <x:c r="C87" s="59" t="n">
        <x:v>113.0199966430664</x:v>
      </x:c>
      <x:c r="D87" s="59" t="n">
        <x:v>114.44000244140625</x:v>
      </x:c>
      <x:c r="E87" s="59" t="n">
        <x:v>114.44000244140625</x:v>
      </x:c>
      <x:c r="F87" s="73" t="n">
        <x:v>1</x:v>
      </x:c>
      <x:c r="G87" s="59" t="n">
        <x:v>113.0199966430664</x:v>
      </x:c>
      <x:c r="H87" s="23" t="str">
        <x:v>raw_open × adjusted_close / raw_close</x:v>
      </x:c>
      <x:c r="I87" s="76" t="str">
        <x:v>https://query1.finance.yahoo.com/v8/finance/chart/AAOI?period1=1779284110&amp;period2=1785815999&amp;interval=1d&amp;events=div%2Csplits&amp;includeAdjustedClose=true</x:v>
      </x:c>
      <x:c r="J87" s="23" t="str">
        <x:v>R0 방법론 검증 전용</x:v>
      </x:c>
    </x:row>
    <x:row r="88">
      <x:c r="A88" s="23" t="str">
        <x:v>AAOI</x:v>
      </x:c>
      <x:c r="B88" s="53" t="n">
        <x:v>46212.5625</x:v>
      </x:c>
      <x:c r="C88" s="59" t="n">
        <x:v>119.5</x:v>
      </x:c>
      <x:c r="D88" s="59" t="n">
        <x:v>122.20999908447266</x:v>
      </x:c>
      <x:c r="E88" s="59" t="n">
        <x:v>122.20999908447266</x:v>
      </x:c>
      <x:c r="F88" s="73" t="n">
        <x:v>1</x:v>
      </x:c>
      <x:c r="G88" s="59" t="n">
        <x:v>119.5</x:v>
      </x:c>
      <x:c r="H88" s="23" t="str">
        <x:v>raw_open × adjusted_close / raw_close</x:v>
      </x:c>
      <x:c r="I88" s="76" t="str">
        <x:v>https://query1.finance.yahoo.com/v8/finance/chart/AAOI?period1=1779284110&amp;period2=1785815999&amp;interval=1d&amp;events=div%2Csplits&amp;includeAdjustedClose=true</x:v>
      </x:c>
      <x:c r="J88" s="23" t="str">
        <x:v>R0 방법론 검증 전용</x:v>
      </x:c>
    </x:row>
    <x:row r="89">
      <x:c r="A89" s="23" t="str">
        <x:v>AAOI</x:v>
      </x:c>
      <x:c r="B89" s="53" t="n">
        <x:v>46213.5625</x:v>
      </x:c>
      <x:c r="C89" s="59" t="n">
        <x:v>118.70999908447266</x:v>
      </x:c>
      <x:c r="D89" s="59" t="n">
        <x:v>119.91999816894531</x:v>
      </x:c>
      <x:c r="E89" s="59" t="n">
        <x:v>119.91999816894531</x:v>
      </x:c>
      <x:c r="F89" s="73" t="n">
        <x:v>1</x:v>
      </x:c>
      <x:c r="G89" s="59" t="n">
        <x:v>118.70999908447266</x:v>
      </x:c>
      <x:c r="H89" s="23" t="str">
        <x:v>raw_open × adjusted_close / raw_close</x:v>
      </x:c>
      <x:c r="I89" s="76" t="str">
        <x:v>https://query1.finance.yahoo.com/v8/finance/chart/AAOI?period1=1779284110&amp;period2=1785815999&amp;interval=1d&amp;events=div%2Csplits&amp;includeAdjustedClose=true</x:v>
      </x:c>
      <x:c r="J89" s="23" t="str">
        <x:v>R0 방법론 검증 전용</x:v>
      </x:c>
    </x:row>
    <x:row r="90">
      <x:c r="A90" s="23" t="str">
        <x:v>AAOI</x:v>
      </x:c>
      <x:c r="B90" s="53" t="n">
        <x:v>46216.5625</x:v>
      </x:c>
      <x:c r="C90" s="59" t="n">
        <x:v>115.91500091552734</x:v>
      </x:c>
      <x:c r="D90" s="59" t="n">
        <x:v>111.87999725341797</x:v>
      </x:c>
      <x:c r="E90" s="59" t="n">
        <x:v>111.87999725341797</x:v>
      </x:c>
      <x:c r="F90" s="73" t="n">
        <x:v>1</x:v>
      </x:c>
      <x:c r="G90" s="59" t="n">
        <x:v>115.91500091552734</x:v>
      </x:c>
      <x:c r="H90" s="23" t="str">
        <x:v>raw_open × adjusted_close / raw_close</x:v>
      </x:c>
      <x:c r="I90" s="76" t="str">
        <x:v>https://query1.finance.yahoo.com/v8/finance/chart/AAOI?period1=1779284110&amp;period2=1785815999&amp;interval=1d&amp;events=div%2Csplits&amp;includeAdjustedClose=true</x:v>
      </x:c>
      <x:c r="J90" s="23" t="str">
        <x:v>R0 방법론 검증 전용</x:v>
      </x:c>
    </x:row>
    <x:row r="91">
      <x:c r="A91" s="23" t="str">
        <x:v>AAOI</x:v>
      </x:c>
      <x:c r="B91" s="53" t="n">
        <x:v>46217.5625</x:v>
      </x:c>
      <x:c r="C91" s="59" t="n">
        <x:v>119.41999816894531</x:v>
      </x:c>
      <x:c r="D91" s="59" t="n">
        <x:v>125.44999694824219</x:v>
      </x:c>
      <x:c r="E91" s="59" t="n">
        <x:v>125.44999694824219</x:v>
      </x:c>
      <x:c r="F91" s="73" t="n">
        <x:v>1</x:v>
      </x:c>
      <x:c r="G91" s="59" t="n">
        <x:v>119.41999816894531</x:v>
      </x:c>
      <x:c r="H91" s="23" t="str">
        <x:v>raw_open × adjusted_close / raw_close</x:v>
      </x:c>
      <x:c r="I91" s="76" t="str">
        <x:v>https://query1.finance.yahoo.com/v8/finance/chart/AAOI?period1=1779284110&amp;period2=1785815999&amp;interval=1d&amp;events=div%2Csplits&amp;includeAdjustedClose=true</x:v>
      </x:c>
      <x:c r="J91" s="23" t="str">
        <x:v>R0 방법론 검증 전용</x:v>
      </x:c>
    </x:row>
    <x:row r="92">
      <x:c r="A92" s="23" t="str">
        <x:v>AAOI</x:v>
      </x:c>
      <x:c r="B92" s="53" t="n">
        <x:v>46218.5625</x:v>
      </x:c>
      <x:c r="C92" s="59" t="n">
        <x:v>123.78500366210938</x:v>
      </x:c>
      <x:c r="D92" s="59" t="n">
        <x:v>109.08999633789062</x:v>
      </x:c>
      <x:c r="E92" s="59" t="n">
        <x:v>109.08999633789062</x:v>
      </x:c>
      <x:c r="F92" s="73" t="n">
        <x:v>1</x:v>
      </x:c>
      <x:c r="G92" s="59" t="n">
        <x:v>123.78500366210938</x:v>
      </x:c>
      <x:c r="H92" s="23" t="str">
        <x:v>raw_open × adjusted_close / raw_close</x:v>
      </x:c>
      <x:c r="I92" s="76" t="str">
        <x:v>https://query1.finance.yahoo.com/v8/finance/chart/AAOI?period1=1779284110&amp;period2=1785815999&amp;interval=1d&amp;events=div%2Csplits&amp;includeAdjustedClose=true</x:v>
      </x:c>
      <x:c r="J92" s="23" t="str">
        <x:v>R0 방법론 검증 전용</x:v>
      </x:c>
    </x:row>
    <x:row r="93">
      <x:c r="A93" s="23" t="str">
        <x:v>AAOI</x:v>
      </x:c>
      <x:c r="B93" s="53" t="n">
        <x:v>46219.5625</x:v>
      </x:c>
      <x:c r="C93" s="59" t="n">
        <x:v>105</x:v>
      </x:c>
      <x:c r="D93" s="59" t="n">
        <x:v>100.23999786376953</x:v>
      </x:c>
      <x:c r="E93" s="59" t="n">
        <x:v>100.23999786376953</x:v>
      </x:c>
      <x:c r="F93" s="73" t="n">
        <x:v>1</x:v>
      </x:c>
      <x:c r="G93" s="59" t="n">
        <x:v>105</x:v>
      </x:c>
      <x:c r="H93" s="23" t="str">
        <x:v>raw_open × adjusted_close / raw_close</x:v>
      </x:c>
      <x:c r="I93" s="76" t="str">
        <x:v>https://query1.finance.yahoo.com/v8/finance/chart/AAOI?period1=1779284110&amp;period2=1785815999&amp;interval=1d&amp;events=div%2Csplits&amp;includeAdjustedClose=true</x:v>
      </x:c>
      <x:c r="J93" s="23" t="str">
        <x:v>R0 방법론 검증 전용</x:v>
      </x:c>
    </x:row>
    <x:row r="94">
      <x:c r="A94" s="23" t="str">
        <x:v>AAOI</x:v>
      </x:c>
      <x:c r="B94" s="53" t="n">
        <x:v>46220.5625</x:v>
      </x:c>
      <x:c r="C94" s="59" t="n">
        <x:v>96.11000061035156</x:v>
      </x:c>
      <x:c r="D94" s="59" t="n">
        <x:v>102.41000366210938</x:v>
      </x:c>
      <x:c r="E94" s="59" t="n">
        <x:v>102.41000366210938</x:v>
      </x:c>
      <x:c r="F94" s="73" t="n">
        <x:v>1</x:v>
      </x:c>
      <x:c r="G94" s="59" t="n">
        <x:v>96.11000061035156</x:v>
      </x:c>
      <x:c r="H94" s="23" t="str">
        <x:v>raw_open × adjusted_close / raw_close</x:v>
      </x:c>
      <x:c r="I94" s="76" t="str">
        <x:v>https://query1.finance.yahoo.com/v8/finance/chart/AAOI?period1=1779284110&amp;period2=1785815999&amp;interval=1d&amp;events=div%2Csplits&amp;includeAdjustedClose=true</x:v>
      </x:c>
      <x:c r="J94" s="23" t="str">
        <x:v>R0 방법론 검증 전용</x:v>
      </x:c>
    </x:row>
    <x:row r="95">
      <x:c r="A95" s="23" t="str">
        <x:v>AAOI</x:v>
      </x:c>
      <x:c r="B95" s="53" t="n">
        <x:v>46223.5625</x:v>
      </x:c>
      <x:c r="C95" s="59" t="n">
        <x:v>104.86000061035156</x:v>
      </x:c>
      <x:c r="D95" s="59" t="n">
        <x:v>103.0199966430664</x:v>
      </x:c>
      <x:c r="E95" s="59" t="n">
        <x:v>103.0199966430664</x:v>
      </x:c>
      <x:c r="F95" s="73" t="n">
        <x:v>1</x:v>
      </x:c>
      <x:c r="G95" s="59" t="n">
        <x:v>104.86000061035156</x:v>
      </x:c>
      <x:c r="H95" s="23" t="str">
        <x:v>raw_open × adjusted_close / raw_close</x:v>
      </x:c>
      <x:c r="I95" s="76" t="str">
        <x:v>https://query1.finance.yahoo.com/v8/finance/chart/AAOI?period1=1779284110&amp;period2=1785815999&amp;interval=1d&amp;events=div%2Csplits&amp;includeAdjustedClose=true</x:v>
      </x:c>
      <x:c r="J95" s="23" t="str">
        <x:v>R0 방법론 검증 전용</x:v>
      </x:c>
    </x:row>
    <x:row r="96">
      <x:c r="A96" s="23" t="str">
        <x:v>AAOI</x:v>
      </x:c>
      <x:c r="B96" s="53" t="n">
        <x:v>46224.5625</x:v>
      </x:c>
      <x:c r="C96" s="59" t="n">
        <x:v>107.73999786376953</x:v>
      </x:c>
      <x:c r="D96" s="59" t="n">
        <x:v>119.26000213623047</x:v>
      </x:c>
      <x:c r="E96" s="59" t="n">
        <x:v>119.26000213623047</x:v>
      </x:c>
      <x:c r="F96" s="73" t="n">
        <x:v>1</x:v>
      </x:c>
      <x:c r="G96" s="59" t="n">
        <x:v>107.73999786376953</x:v>
      </x:c>
      <x:c r="H96" s="23" t="str">
        <x:v>raw_open × adjusted_close / raw_close</x:v>
      </x:c>
      <x:c r="I96" s="76" t="str">
        <x:v>https://query1.finance.yahoo.com/v8/finance/chart/AAOI?period1=1779284110&amp;period2=1785815999&amp;interval=1d&amp;events=div%2Csplits&amp;includeAdjustedClose=true</x:v>
      </x:c>
      <x:c r="J96" s="23" t="str">
        <x:v>R0 방법론 검증 전용</x:v>
      </x:c>
    </x:row>
    <x:row r="97">
      <x:c r="A97" s="23" t="str">
        <x:v>AAOI</x:v>
      </x:c>
      <x:c r="B97" s="53" t="n">
        <x:v>46225.5625</x:v>
      </x:c>
      <x:c r="C97" s="59" t="n">
        <x:v>114.98500061035156</x:v>
      </x:c>
      <x:c r="D97" s="59" t="n">
        <x:v>110.5199966430664</x:v>
      </x:c>
      <x:c r="E97" s="59" t="n">
        <x:v>110.5199966430664</x:v>
      </x:c>
      <x:c r="F97" s="73" t="n">
        <x:v>1</x:v>
      </x:c>
      <x:c r="G97" s="59" t="n">
        <x:v>114.98500061035156</x:v>
      </x:c>
      <x:c r="H97" s="23" t="str">
        <x:v>raw_open × adjusted_close / raw_close</x:v>
      </x:c>
      <x:c r="I97" s="76" t="str">
        <x:v>https://query1.finance.yahoo.com/v8/finance/chart/AAOI?period1=1779284110&amp;period2=1785815999&amp;interval=1d&amp;events=div%2Csplits&amp;includeAdjustedClose=true</x:v>
      </x:c>
      <x:c r="J97" s="23" t="str">
        <x:v>R0 방법론 검증 전용</x:v>
      </x:c>
    </x:row>
    <x:row r="98">
      <x:c r="A98" s="23" t="str">
        <x:v>AAOI</x:v>
      </x:c>
      <x:c r="B98" s="53" t="n">
        <x:v>46226.5625</x:v>
      </x:c>
      <x:c r="C98" s="59" t="n">
        <x:v>108.58499908447266</x:v>
      </x:c>
      <x:c r="D98" s="59" t="n">
        <x:v>112.0199966430664</x:v>
      </x:c>
      <x:c r="E98" s="59" t="n">
        <x:v>112.0199966430664</x:v>
      </x:c>
      <x:c r="F98" s="73" t="n">
        <x:v>1</x:v>
      </x:c>
      <x:c r="G98" s="59" t="n">
        <x:v>108.58499908447266</x:v>
      </x:c>
      <x:c r="H98" s="23" t="str">
        <x:v>raw_open × adjusted_close / raw_close</x:v>
      </x:c>
      <x:c r="I98" s="76" t="str">
        <x:v>https://query1.finance.yahoo.com/v8/finance/chart/AAOI?period1=1779284110&amp;period2=1785815999&amp;interval=1d&amp;events=div%2Csplits&amp;includeAdjustedClose=true</x:v>
      </x:c>
      <x:c r="J98" s="23" t="str">
        <x:v>R0 방법론 검증 전용</x:v>
      </x:c>
    </x:row>
    <x:row r="99">
      <x:c r="A99" s="23" t="str">
        <x:v>AAOI</x:v>
      </x:c>
      <x:c r="B99" s="53" t="n">
        <x:v>46227.5625</x:v>
      </x:c>
      <x:c r="C99" s="59" t="n">
        <x:v>108.9749984741211</x:v>
      </x:c>
      <x:c r="D99" s="59" t="n">
        <x:v>100.1500015258789</x:v>
      </x:c>
      <x:c r="E99" s="59" t="n">
        <x:v>100.1500015258789</x:v>
      </x:c>
      <x:c r="F99" s="73" t="n">
        <x:v>1</x:v>
      </x:c>
      <x:c r="G99" s="59" t="n">
        <x:v>108.9749984741211</x:v>
      </x:c>
      <x:c r="H99" s="23" t="str">
        <x:v>raw_open × adjusted_close / raw_close</x:v>
      </x:c>
      <x:c r="I99" s="76" t="str">
        <x:v>https://query1.finance.yahoo.com/v8/finance/chart/AAOI?period1=1779284110&amp;period2=1785815999&amp;interval=1d&amp;events=div%2Csplits&amp;includeAdjustedClose=true</x:v>
      </x:c>
      <x:c r="J99" s="23" t="str">
        <x:v>R0 방법론 검증 전용</x:v>
      </x:c>
    </x:row>
    <x:row r="100">
      <x:c r="A100" s="23" t="str">
        <x:v>AAOI</x:v>
      </x:c>
      <x:c r="B100" s="53" t="n">
        <x:v>46230.5625</x:v>
      </x:c>
      <x:c r="C100" s="59" t="n">
        <x:v>100.55999755859375</x:v>
      </x:c>
      <x:c r="D100" s="59" t="n">
        <x:v>97.81999969482422</x:v>
      </x:c>
      <x:c r="E100" s="59" t="n">
        <x:v>97.81999969482422</x:v>
      </x:c>
      <x:c r="F100" s="73" t="n">
        <x:v>1</x:v>
      </x:c>
      <x:c r="G100" s="59" t="n">
        <x:v>100.55999755859375</x:v>
      </x:c>
      <x:c r="H100" s="23" t="str">
        <x:v>raw_open × adjusted_close / raw_close</x:v>
      </x:c>
      <x:c r="I100" s="76" t="str">
        <x:v>https://query1.finance.yahoo.com/v8/finance/chart/AAOI?period1=1779284110&amp;period2=1785815999&amp;interval=1d&amp;events=div%2Csplits&amp;includeAdjustedClose=true</x:v>
      </x:c>
      <x:c r="J100" s="23" t="str">
        <x:v>R0 방법론 검증 전용</x:v>
      </x:c>
    </x:row>
    <x:row r="101">
      <x:c r="A101" s="23" t="str">
        <x:v>AAOI</x:v>
      </x:c>
      <x:c r="B101" s="53" t="n">
        <x:v>46231.5625</x:v>
      </x:c>
      <x:c r="C101" s="59" t="n">
        <x:v>92.94999694824219</x:v>
      </x:c>
      <x:c r="D101" s="59" t="n">
        <x:v>88.13999938964844</x:v>
      </x:c>
      <x:c r="E101" s="59" t="n">
        <x:v>88.13999938964844</x:v>
      </x:c>
      <x:c r="F101" s="73" t="n">
        <x:v>1</x:v>
      </x:c>
      <x:c r="G101" s="59" t="n">
        <x:v>92.94999694824219</x:v>
      </x:c>
      <x:c r="H101" s="23" t="str">
        <x:v>raw_open × adjusted_close / raw_close</x:v>
      </x:c>
      <x:c r="I101" s="76" t="str">
        <x:v>https://query1.finance.yahoo.com/v8/finance/chart/AAOI?period1=1779284110&amp;period2=1785815999&amp;interval=1d&amp;events=div%2Csplits&amp;includeAdjustedClose=true</x:v>
      </x:c>
      <x:c r="J101" s="23" t="str">
        <x:v>R0 방법론 검증 전용</x:v>
      </x:c>
    </x:row>
    <x:row r="102">
      <x:c r="A102" s="23" t="str">
        <x:v>AAOI</x:v>
      </x:c>
      <x:c r="B102" s="53" t="n">
        <x:v>46232.5625</x:v>
      </x:c>
      <x:c r="C102" s="59" t="n">
        <x:v>88.19000244140625</x:v>
      </x:c>
      <x:c r="D102" s="59" t="n">
        <x:v>76.5199966430664</x:v>
      </x:c>
      <x:c r="E102" s="59" t="n">
        <x:v>76.5199966430664</x:v>
      </x:c>
      <x:c r="F102" s="73" t="n">
        <x:v>1</x:v>
      </x:c>
      <x:c r="G102" s="59" t="n">
        <x:v>88.19000244140625</x:v>
      </x:c>
      <x:c r="H102" s="23" t="str">
        <x:v>raw_open × adjusted_close / raw_close</x:v>
      </x:c>
      <x:c r="I102" s="76" t="str">
        <x:v>https://query1.finance.yahoo.com/v8/finance/chart/AAOI?period1=1779284110&amp;period2=1785815999&amp;interval=1d&amp;events=div%2Csplits&amp;includeAdjustedClose=true</x:v>
      </x:c>
      <x:c r="J102" s="23" t="str">
        <x:v>R0 방법론 검증 전용</x:v>
      </x:c>
    </x:row>
    <x:row r="103">
      <x:c r="A103" s="23" t="str">
        <x:v>AAOI</x:v>
      </x:c>
      <x:c r="B103" s="53" t="n">
        <x:v>46233.5625</x:v>
      </x:c>
      <x:c r="C103" s="59" t="n">
        <x:v>83.3499984741211</x:v>
      </x:c>
      <x:c r="D103" s="59" t="n">
        <x:v>90.11000061035156</x:v>
      </x:c>
      <x:c r="E103" s="59" t="n">
        <x:v>90.11000061035156</x:v>
      </x:c>
      <x:c r="F103" s="73" t="n">
        <x:v>1</x:v>
      </x:c>
      <x:c r="G103" s="59" t="n">
        <x:v>83.3499984741211</x:v>
      </x:c>
      <x:c r="H103" s="23" t="str">
        <x:v>raw_open × adjusted_close / raw_close</x:v>
      </x:c>
      <x:c r="I103" s="76" t="str">
        <x:v>https://query1.finance.yahoo.com/v8/finance/chart/AAOI?period1=1779284110&amp;period2=1785815999&amp;interval=1d&amp;events=div%2Csplits&amp;includeAdjustedClose=true</x:v>
      </x:c>
      <x:c r="J103" s="23" t="str">
        <x:v>R0 방법론 검증 전용</x:v>
      </x:c>
    </x:row>
    <x:row r="104">
      <x:c r="A104" s="23" t="str">
        <x:v>AAOI</x:v>
      </x:c>
      <x:c r="B104" s="53" t="n">
        <x:v>46234.5625</x:v>
      </x:c>
      <x:c r="C104" s="59" t="n">
        <x:v>100.0999984741211</x:v>
      </x:c>
      <x:c r="D104" s="59" t="n">
        <x:v>94.31999969482422</x:v>
      </x:c>
      <x:c r="E104" s="59" t="n">
        <x:v>94.31999969482422</x:v>
      </x:c>
      <x:c r="F104" s="73" t="n">
        <x:v>1</x:v>
      </x:c>
      <x:c r="G104" s="59" t="n">
        <x:v>100.0999984741211</x:v>
      </x:c>
      <x:c r="H104" s="23" t="str">
        <x:v>raw_open × adjusted_close / raw_close</x:v>
      </x:c>
      <x:c r="I104" s="76" t="str">
        <x:v>https://query1.finance.yahoo.com/v8/finance/chart/AAOI?period1=1779284110&amp;period2=1785815999&amp;interval=1d&amp;events=div%2Csplits&amp;includeAdjustedClose=true</x:v>
      </x:c>
      <x:c r="J104" s="23" t="str">
        <x:v>R0 방법론 검증 전용</x:v>
      </x:c>
    </x:row>
    <x:row r="105">
      <x:c r="A105" s="23" t="str">
        <x:v>LITE</x:v>
      </x:c>
      <x:c r="B105" s="53" t="n">
        <x:v>46162.5625</x:v>
      </x:c>
      <x:c r="C105" s="59" t="n">
        <x:v>917.010009765625</x:v>
      </x:c>
      <x:c r="D105" s="59" t="n">
        <x:v>868.0700073242188</x:v>
      </x:c>
      <x:c r="E105" s="59" t="n">
        <x:v>868.0700073242188</x:v>
      </x:c>
      <x:c r="F105" s="73" t="n">
        <x:v>1</x:v>
      </x:c>
      <x:c r="G105" s="59" t="n">
        <x:v>917.010009765625</x:v>
      </x:c>
      <x:c r="H105" s="23" t="str">
        <x:v>raw_open × adjusted_close / raw_close</x:v>
      </x:c>
      <x:c r="I105" s="76" t="str">
        <x:v>https://query1.finance.yahoo.com/v8/finance/chart/LITE?period1=1779284110&amp;period2=1785815999&amp;interval=1d&amp;events=div%2Csplits&amp;includeAdjustedClose=true</x:v>
      </x:c>
      <x:c r="J105" s="23" t="str">
        <x:v>R0 방법론 검증 전용</x:v>
      </x:c>
    </x:row>
    <x:row r="106">
      <x:c r="A106" s="23" t="str">
        <x:v>LITE</x:v>
      </x:c>
      <x:c r="B106" s="53" t="n">
        <x:v>46163.5625</x:v>
      </x:c>
      <x:c r="C106" s="59" t="n">
        <x:v>869.7999877929688</x:v>
      </x:c>
      <x:c r="D106" s="59" t="n">
        <x:v>964.5</x:v>
      </x:c>
      <x:c r="E106" s="59" t="n">
        <x:v>964.5</x:v>
      </x:c>
      <x:c r="F106" s="73" t="n">
        <x:v>1</x:v>
      </x:c>
      <x:c r="G106" s="59" t="n">
        <x:v>869.7999877929688</x:v>
      </x:c>
      <x:c r="H106" s="23" t="str">
        <x:v>raw_open × adjusted_close / raw_close</x:v>
      </x:c>
      <x:c r="I106" s="76" t="str">
        <x:v>https://query1.finance.yahoo.com/v8/finance/chart/LITE?period1=1779284110&amp;period2=1785815999&amp;interval=1d&amp;events=div%2Csplits&amp;includeAdjustedClose=true</x:v>
      </x:c>
      <x:c r="J106" s="23" t="str">
        <x:v>R0 방법론 검증 전용</x:v>
      </x:c>
    </x:row>
    <x:row r="107">
      <x:c r="A107" s="23" t="str">
        <x:v>LITE</x:v>
      </x:c>
      <x:c r="B107" s="53" t="n">
        <x:v>46164.5625</x:v>
      </x:c>
      <x:c r="C107" s="59" t="n">
        <x:v>965.1500244140625</x:v>
      </x:c>
      <x:c r="D107" s="59" t="n">
        <x:v>946.9000244140625</x:v>
      </x:c>
      <x:c r="E107" s="59" t="n">
        <x:v>946.9000244140625</x:v>
      </x:c>
      <x:c r="F107" s="73" t="n">
        <x:v>1</x:v>
      </x:c>
      <x:c r="G107" s="59" t="n">
        <x:v>965.1500244140625</x:v>
      </x:c>
      <x:c r="H107" s="23" t="str">
        <x:v>raw_open × adjusted_close / raw_close</x:v>
      </x:c>
      <x:c r="I107" s="76" t="str">
        <x:v>https://query1.finance.yahoo.com/v8/finance/chart/LITE?period1=1779284110&amp;period2=1785815999&amp;interval=1d&amp;events=div%2Csplits&amp;includeAdjustedClose=true</x:v>
      </x:c>
      <x:c r="J107" s="23" t="str">
        <x:v>R0 방법론 검증 전용</x:v>
      </x:c>
    </x:row>
    <x:row r="108">
      <x:c r="A108" s="23" t="str">
        <x:v>LITE</x:v>
      </x:c>
      <x:c r="B108" s="53" t="n">
        <x:v>46168.5625</x:v>
      </x:c>
      <x:c r="C108" s="59" t="n">
        <x:v>963.010009765625</x:v>
      </x:c>
      <x:c r="D108" s="59" t="n">
        <x:v>910.8099975585938</x:v>
      </x:c>
      <x:c r="E108" s="59" t="n">
        <x:v>910.8099975585938</x:v>
      </x:c>
      <x:c r="F108" s="73" t="n">
        <x:v>1</x:v>
      </x:c>
      <x:c r="G108" s="59" t="n">
        <x:v>963.010009765625</x:v>
      </x:c>
      <x:c r="H108" s="23" t="str">
        <x:v>raw_open × adjusted_close / raw_close</x:v>
      </x:c>
      <x:c r="I108" s="76" t="str">
        <x:v>https://query1.finance.yahoo.com/v8/finance/chart/LITE?period1=1779284110&amp;period2=1785815999&amp;interval=1d&amp;events=div%2Csplits&amp;includeAdjustedClose=true</x:v>
      </x:c>
      <x:c r="J108" s="23" t="str">
        <x:v>R0 방법론 검증 전용</x:v>
      </x:c>
    </x:row>
    <x:row r="109">
      <x:c r="A109" s="23" t="str">
        <x:v>LITE</x:v>
      </x:c>
      <x:c r="B109" s="53" t="n">
        <x:v>46169.5625</x:v>
      </x:c>
      <x:c r="C109" s="59" t="n">
        <x:v>901.5499877929688</x:v>
      </x:c>
      <x:c r="D109" s="59" t="n">
        <x:v>902.3099975585938</x:v>
      </x:c>
      <x:c r="E109" s="59" t="n">
        <x:v>902.3099975585938</x:v>
      </x:c>
      <x:c r="F109" s="73" t="n">
        <x:v>1</x:v>
      </x:c>
      <x:c r="G109" s="59" t="n">
        <x:v>901.5499877929688</x:v>
      </x:c>
      <x:c r="H109" s="23" t="str">
        <x:v>raw_open × adjusted_close / raw_close</x:v>
      </x:c>
      <x:c r="I109" s="76" t="str">
        <x:v>https://query1.finance.yahoo.com/v8/finance/chart/LITE?period1=1779284110&amp;period2=1785815999&amp;interval=1d&amp;events=div%2Csplits&amp;includeAdjustedClose=true</x:v>
      </x:c>
      <x:c r="J109" s="23" t="str">
        <x:v>R0 방법론 검증 전용</x:v>
      </x:c>
    </x:row>
    <x:row r="110">
      <x:c r="A110" s="23" t="str">
        <x:v>LITE</x:v>
      </x:c>
      <x:c r="B110" s="53" t="n">
        <x:v>46170.5625</x:v>
      </x:c>
      <x:c r="C110" s="59" t="n">
        <x:v>936.7000122070312</x:v>
      </x:c>
      <x:c r="D110" s="59" t="n">
        <x:v>860.6199951171875</x:v>
      </x:c>
      <x:c r="E110" s="59" t="n">
        <x:v>860.6199951171875</x:v>
      </x:c>
      <x:c r="F110" s="73" t="n">
        <x:v>1</x:v>
      </x:c>
      <x:c r="G110" s="59" t="n">
        <x:v>936.7000122070312</x:v>
      </x:c>
      <x:c r="H110" s="23" t="str">
        <x:v>raw_open × adjusted_close / raw_close</x:v>
      </x:c>
      <x:c r="I110" s="76" t="str">
        <x:v>https://query1.finance.yahoo.com/v8/finance/chart/LITE?period1=1779284110&amp;period2=1785815999&amp;interval=1d&amp;events=div%2Csplits&amp;includeAdjustedClose=true</x:v>
      </x:c>
      <x:c r="J110" s="23" t="str">
        <x:v>R0 방법론 검증 전용</x:v>
      </x:c>
    </x:row>
    <x:row r="111">
      <x:c r="A111" s="23" t="str">
        <x:v>LITE</x:v>
      </x:c>
      <x:c r="B111" s="53" t="n">
        <x:v>46171.5625</x:v>
      </x:c>
      <x:c r="C111" s="59" t="n">
        <x:v>860.6799926757812</x:v>
      </x:c>
      <x:c r="D111" s="59" t="n">
        <x:v>854.9600219726562</x:v>
      </x:c>
      <x:c r="E111" s="59" t="n">
        <x:v>854.9600219726562</x:v>
      </x:c>
      <x:c r="F111" s="73" t="n">
        <x:v>1</x:v>
      </x:c>
      <x:c r="G111" s="59" t="n">
        <x:v>860.6799926757812</x:v>
      </x:c>
      <x:c r="H111" s="23" t="str">
        <x:v>raw_open × adjusted_close / raw_close</x:v>
      </x:c>
      <x:c r="I111" s="76" t="str">
        <x:v>https://query1.finance.yahoo.com/v8/finance/chart/LITE?period1=1779284110&amp;period2=1785815999&amp;interval=1d&amp;events=div%2Csplits&amp;includeAdjustedClose=true</x:v>
      </x:c>
      <x:c r="J111" s="23" t="str">
        <x:v>R0 방법론 검증 전용</x:v>
      </x:c>
    </x:row>
    <x:row r="112">
      <x:c r="A112" s="23" t="str">
        <x:v>LITE</x:v>
      </x:c>
      <x:c r="B112" s="53" t="n">
        <x:v>46174.5625</x:v>
      </x:c>
      <x:c r="C112" s="59" t="n">
        <x:v>825.25</x:v>
      </x:c>
      <x:c r="D112" s="59" t="n">
        <x:v>905</x:v>
      </x:c>
      <x:c r="E112" s="59" t="n">
        <x:v>905</x:v>
      </x:c>
      <x:c r="F112" s="73" t="n">
        <x:v>1</x:v>
      </x:c>
      <x:c r="G112" s="59" t="n">
        <x:v>825.25</x:v>
      </x:c>
      <x:c r="H112" s="23" t="str">
        <x:v>raw_open × adjusted_close / raw_close</x:v>
      </x:c>
      <x:c r="I112" s="76" t="str">
        <x:v>https://query1.finance.yahoo.com/v8/finance/chart/LITE?period1=1779284110&amp;period2=1785815999&amp;interval=1d&amp;events=div%2Csplits&amp;includeAdjustedClose=true</x:v>
      </x:c>
      <x:c r="J112" s="23" t="str">
        <x:v>R0 방법론 검증 전용</x:v>
      </x:c>
    </x:row>
    <x:row r="113">
      <x:c r="A113" s="23" t="str">
        <x:v>LITE</x:v>
      </x:c>
      <x:c r="B113" s="53" t="n">
        <x:v>46175.5625</x:v>
      </x:c>
      <x:c r="C113" s="59" t="n">
        <x:v>935.1300048828125</x:v>
      </x:c>
      <x:c r="D113" s="59" t="n">
        <x:v>1029.1500244140625</x:v>
      </x:c>
      <x:c r="E113" s="59" t="n">
        <x:v>1029.1500244140625</x:v>
      </x:c>
      <x:c r="F113" s="73" t="n">
        <x:v>1</x:v>
      </x:c>
      <x:c r="G113" s="59" t="n">
        <x:v>935.1300048828125</x:v>
      </x:c>
      <x:c r="H113" s="23" t="str">
        <x:v>raw_open × adjusted_close / raw_close</x:v>
      </x:c>
      <x:c r="I113" s="76" t="str">
        <x:v>https://query1.finance.yahoo.com/v8/finance/chart/LITE?period1=1779284110&amp;period2=1785815999&amp;interval=1d&amp;events=div%2Csplits&amp;includeAdjustedClose=true</x:v>
      </x:c>
      <x:c r="J113" s="23" t="str">
        <x:v>R0 방법론 검증 전용</x:v>
      </x:c>
    </x:row>
    <x:row r="114">
      <x:c r="A114" s="23" t="str">
        <x:v>LITE</x:v>
      </x:c>
      <x:c r="B114" s="53" t="n">
        <x:v>46176.5625</x:v>
      </x:c>
      <x:c r="C114" s="59" t="n">
        <x:v>1029.074951171875</x:v>
      </x:c>
      <x:c r="D114" s="59" t="n">
        <x:v>938</x:v>
      </x:c>
      <x:c r="E114" s="59" t="n">
        <x:v>938</x:v>
      </x:c>
      <x:c r="F114" s="73" t="n">
        <x:v>1</x:v>
      </x:c>
      <x:c r="G114" s="59" t="n">
        <x:v>1029.074951171875</x:v>
      </x:c>
      <x:c r="H114" s="23" t="str">
        <x:v>raw_open × adjusted_close / raw_close</x:v>
      </x:c>
      <x:c r="I114" s="76" t="str">
        <x:v>https://query1.finance.yahoo.com/v8/finance/chart/LITE?period1=1779284110&amp;period2=1785815999&amp;interval=1d&amp;events=div%2Csplits&amp;includeAdjustedClose=true</x:v>
      </x:c>
      <x:c r="J114" s="23" t="str">
        <x:v>R0 방법론 검증 전용</x:v>
      </x:c>
    </x:row>
    <x:row r="115">
      <x:c r="A115" s="23" t="str">
        <x:v>LITE</x:v>
      </x:c>
      <x:c r="B115" s="53" t="n">
        <x:v>46177.5625</x:v>
      </x:c>
      <x:c r="C115" s="59" t="n">
        <x:v>900.0999755859375</x:v>
      </x:c>
      <x:c r="D115" s="59" t="n">
        <x:v>945.0800170898438</x:v>
      </x:c>
      <x:c r="E115" s="59" t="n">
        <x:v>945.0800170898438</x:v>
      </x:c>
      <x:c r="F115" s="73" t="n">
        <x:v>1</x:v>
      </x:c>
      <x:c r="G115" s="59" t="n">
        <x:v>900.0999755859375</x:v>
      </x:c>
      <x:c r="H115" s="23" t="str">
        <x:v>raw_open × adjusted_close / raw_close</x:v>
      </x:c>
      <x:c r="I115" s="76" t="str">
        <x:v>https://query1.finance.yahoo.com/v8/finance/chart/LITE?period1=1779284110&amp;period2=1785815999&amp;interval=1d&amp;events=div%2Csplits&amp;includeAdjustedClose=true</x:v>
      </x:c>
      <x:c r="J115" s="23" t="str">
        <x:v>R0 방법론 검증 전용</x:v>
      </x:c>
    </x:row>
    <x:row r="116">
      <x:c r="A116" s="23" t="str">
        <x:v>LITE</x:v>
      </x:c>
      <x:c r="B116" s="53" t="n">
        <x:v>46178.5625</x:v>
      </x:c>
      <x:c r="C116" s="59" t="n">
        <x:v>912.6199951171875</x:v>
      </x:c>
      <x:c r="D116" s="59" t="n">
        <x:v>863.6599731445312</x:v>
      </x:c>
      <x:c r="E116" s="59" t="n">
        <x:v>863.6599731445312</x:v>
      </x:c>
      <x:c r="F116" s="73" t="n">
        <x:v>1</x:v>
      </x:c>
      <x:c r="G116" s="59" t="n">
        <x:v>912.6199951171875</x:v>
      </x:c>
      <x:c r="H116" s="23" t="str">
        <x:v>raw_open × adjusted_close / raw_close</x:v>
      </x:c>
      <x:c r="I116" s="76" t="str">
        <x:v>https://query1.finance.yahoo.com/v8/finance/chart/LITE?period1=1779284110&amp;period2=1785815999&amp;interval=1d&amp;events=div%2Csplits&amp;includeAdjustedClose=true</x:v>
      </x:c>
      <x:c r="J116" s="23" t="str">
        <x:v>R0 방법론 검증 전용</x:v>
      </x:c>
    </x:row>
    <x:row r="117">
      <x:c r="A117" s="23" t="str">
        <x:v>LITE</x:v>
      </x:c>
      <x:c r="B117" s="53" t="n">
        <x:v>46181.5625</x:v>
      </x:c>
      <x:c r="C117" s="59" t="n">
        <x:v>899.7899780273438</x:v>
      </x:c>
      <x:c r="D117" s="59" t="n">
        <x:v>895.4000244140625</x:v>
      </x:c>
      <x:c r="E117" s="59" t="n">
        <x:v>895.4000244140625</x:v>
      </x:c>
      <x:c r="F117" s="73" t="n">
        <x:v>1</x:v>
      </x:c>
      <x:c r="G117" s="59" t="n">
        <x:v>899.7899780273438</x:v>
      </x:c>
      <x:c r="H117" s="23" t="str">
        <x:v>raw_open × adjusted_close / raw_close</x:v>
      </x:c>
      <x:c r="I117" s="76" t="str">
        <x:v>https://query1.finance.yahoo.com/v8/finance/chart/LITE?period1=1779284110&amp;period2=1785815999&amp;interval=1d&amp;events=div%2Csplits&amp;includeAdjustedClose=true</x:v>
      </x:c>
      <x:c r="J117" s="23" t="str">
        <x:v>R0 방법론 검증 전용</x:v>
      </x:c>
    </x:row>
    <x:row r="118">
      <x:c r="A118" s="23" t="str">
        <x:v>LITE</x:v>
      </x:c>
      <x:c r="B118" s="53" t="n">
        <x:v>46182.5625</x:v>
      </x:c>
      <x:c r="C118" s="59" t="n">
        <x:v>908.1199951171875</x:v>
      </x:c>
      <x:c r="D118" s="59" t="n">
        <x:v>821.760009765625</x:v>
      </x:c>
      <x:c r="E118" s="59" t="n">
        <x:v>821.760009765625</x:v>
      </x:c>
      <x:c r="F118" s="73" t="n">
        <x:v>1</x:v>
      </x:c>
      <x:c r="G118" s="59" t="n">
        <x:v>908.1199951171875</x:v>
      </x:c>
      <x:c r="H118" s="23" t="str">
        <x:v>raw_open × adjusted_close / raw_close</x:v>
      </x:c>
      <x:c r="I118" s="76" t="str">
        <x:v>https://query1.finance.yahoo.com/v8/finance/chart/LITE?period1=1779284110&amp;period2=1785815999&amp;interval=1d&amp;events=div%2Csplits&amp;includeAdjustedClose=true</x:v>
      </x:c>
      <x:c r="J118" s="23" t="str">
        <x:v>R0 방법론 검증 전용</x:v>
      </x:c>
    </x:row>
    <x:row r="119">
      <x:c r="A119" s="23" t="str">
        <x:v>LITE</x:v>
      </x:c>
      <x:c r="B119" s="53" t="n">
        <x:v>46183.5625</x:v>
      </x:c>
      <x:c r="C119" s="59" t="n">
        <x:v>833.6950073242188</x:v>
      </x:c>
      <x:c r="D119" s="59" t="n">
        <x:v>853.260009765625</x:v>
      </x:c>
      <x:c r="E119" s="59" t="n">
        <x:v>853.260009765625</x:v>
      </x:c>
      <x:c r="F119" s="73" t="n">
        <x:v>1</x:v>
      </x:c>
      <x:c r="G119" s="59" t="n">
        <x:v>833.6950073242188</x:v>
      </x:c>
      <x:c r="H119" s="23" t="str">
        <x:v>raw_open × adjusted_close / raw_close</x:v>
      </x:c>
      <x:c r="I119" s="76" t="str">
        <x:v>https://query1.finance.yahoo.com/v8/finance/chart/LITE?period1=1779284110&amp;period2=1785815999&amp;interval=1d&amp;events=div%2Csplits&amp;includeAdjustedClose=true</x:v>
      </x:c>
      <x:c r="J119" s="23" t="str">
        <x:v>R0 방법론 검증 전용</x:v>
      </x:c>
    </x:row>
    <x:row r="120">
      <x:c r="A120" s="23" t="str">
        <x:v>LITE</x:v>
      </x:c>
      <x:c r="B120" s="53" t="n">
        <x:v>46184.5625</x:v>
      </x:c>
      <x:c r="C120" s="59" t="n">
        <x:v>863</x:v>
      </x:c>
      <x:c r="D120" s="59" t="n">
        <x:v>889.5900268554688</x:v>
      </x:c>
      <x:c r="E120" s="59" t="n">
        <x:v>889.5900268554688</x:v>
      </x:c>
      <x:c r="F120" s="73" t="n">
        <x:v>1</x:v>
      </x:c>
      <x:c r="G120" s="59" t="n">
        <x:v>863</x:v>
      </x:c>
      <x:c r="H120" s="23" t="str">
        <x:v>raw_open × adjusted_close / raw_close</x:v>
      </x:c>
      <x:c r="I120" s="76" t="str">
        <x:v>https://query1.finance.yahoo.com/v8/finance/chart/LITE?period1=1779284110&amp;period2=1785815999&amp;interval=1d&amp;events=div%2Csplits&amp;includeAdjustedClose=true</x:v>
      </x:c>
      <x:c r="J120" s="23" t="str">
        <x:v>R0 방법론 검증 전용</x:v>
      </x:c>
    </x:row>
    <x:row r="121">
      <x:c r="A121" s="23" t="str">
        <x:v>LITE</x:v>
      </x:c>
      <x:c r="B121" s="53" t="n">
        <x:v>46185.5625</x:v>
      </x:c>
      <x:c r="C121" s="59" t="n">
        <x:v>889.4249877929688</x:v>
      </x:c>
      <x:c r="D121" s="59" t="n">
        <x:v>921.5599975585938</x:v>
      </x:c>
      <x:c r="E121" s="59" t="n">
        <x:v>921.5599975585938</x:v>
      </x:c>
      <x:c r="F121" s="73" t="n">
        <x:v>1</x:v>
      </x:c>
      <x:c r="G121" s="59" t="n">
        <x:v>889.4249877929688</x:v>
      </x:c>
      <x:c r="H121" s="23" t="str">
        <x:v>raw_open × adjusted_close / raw_close</x:v>
      </x:c>
      <x:c r="I121" s="76" t="str">
        <x:v>https://query1.finance.yahoo.com/v8/finance/chart/LITE?period1=1779284110&amp;period2=1785815999&amp;interval=1d&amp;events=div%2Csplits&amp;includeAdjustedClose=true</x:v>
      </x:c>
      <x:c r="J121" s="23" t="str">
        <x:v>R0 방법론 검증 전용</x:v>
      </x:c>
    </x:row>
    <x:row r="122">
      <x:c r="A122" s="23" t="str">
        <x:v>LITE</x:v>
      </x:c>
      <x:c r="B122" s="53" t="n">
        <x:v>46188.5625</x:v>
      </x:c>
      <x:c r="C122" s="59" t="n">
        <x:v>965.97998046875</x:v>
      </x:c>
      <x:c r="D122" s="59" t="n">
        <x:v>957.239990234375</x:v>
      </x:c>
      <x:c r="E122" s="59" t="n">
        <x:v>957.239990234375</x:v>
      </x:c>
      <x:c r="F122" s="73" t="n">
        <x:v>1</x:v>
      </x:c>
      <x:c r="G122" s="59" t="n">
        <x:v>965.97998046875</x:v>
      </x:c>
      <x:c r="H122" s="23" t="str">
        <x:v>raw_open × adjusted_close / raw_close</x:v>
      </x:c>
      <x:c r="I122" s="76" t="str">
        <x:v>https://query1.finance.yahoo.com/v8/finance/chart/LITE?period1=1779284110&amp;period2=1785815999&amp;interval=1d&amp;events=div%2Csplits&amp;includeAdjustedClose=true</x:v>
      </x:c>
      <x:c r="J122" s="23" t="str">
        <x:v>R0 방법론 검증 전용</x:v>
      </x:c>
    </x:row>
    <x:row r="123">
      <x:c r="A123" s="23" t="str">
        <x:v>LITE</x:v>
      </x:c>
      <x:c r="B123" s="53" t="n">
        <x:v>46189.5625</x:v>
      </x:c>
      <x:c r="C123" s="59" t="n">
        <x:v>958.4749755859375</x:v>
      </x:c>
      <x:c r="D123" s="59" t="n">
        <x:v>875.3599853515625</x:v>
      </x:c>
      <x:c r="E123" s="59" t="n">
        <x:v>875.3599853515625</x:v>
      </x:c>
      <x:c r="F123" s="73" t="n">
        <x:v>1</x:v>
      </x:c>
      <x:c r="G123" s="59" t="n">
        <x:v>958.4749755859375</x:v>
      </x:c>
      <x:c r="H123" s="23" t="str">
        <x:v>raw_open × adjusted_close / raw_close</x:v>
      </x:c>
      <x:c r="I123" s="76" t="str">
        <x:v>https://query1.finance.yahoo.com/v8/finance/chart/LITE?period1=1779284110&amp;period2=1785815999&amp;interval=1d&amp;events=div%2Csplits&amp;includeAdjustedClose=true</x:v>
      </x:c>
      <x:c r="J123" s="23" t="str">
        <x:v>R0 방법론 검증 전용</x:v>
      </x:c>
    </x:row>
    <x:row r="124">
      <x:c r="A124" s="23" t="str">
        <x:v>LITE</x:v>
      </x:c>
      <x:c r="B124" s="53" t="n">
        <x:v>46190.5625</x:v>
      </x:c>
      <x:c r="C124" s="59" t="n">
        <x:v>879.0800170898438</x:v>
      </x:c>
      <x:c r="D124" s="59" t="n">
        <x:v>869.97998046875</x:v>
      </x:c>
      <x:c r="E124" s="59" t="n">
        <x:v>869.97998046875</x:v>
      </x:c>
      <x:c r="F124" s="73" t="n">
        <x:v>1</x:v>
      </x:c>
      <x:c r="G124" s="59" t="n">
        <x:v>879.0800170898438</x:v>
      </x:c>
      <x:c r="H124" s="23" t="str">
        <x:v>raw_open × adjusted_close / raw_close</x:v>
      </x:c>
      <x:c r="I124" s="76" t="str">
        <x:v>https://query1.finance.yahoo.com/v8/finance/chart/LITE?period1=1779284110&amp;period2=1785815999&amp;interval=1d&amp;events=div%2Csplits&amp;includeAdjustedClose=true</x:v>
      </x:c>
      <x:c r="J124" s="23" t="str">
        <x:v>R0 방법론 검증 전용</x:v>
      </x:c>
    </x:row>
    <x:row r="125">
      <x:c r="A125" s="23" t="str">
        <x:v>LITE</x:v>
      </x:c>
      <x:c r="B125" s="53" t="n">
        <x:v>46191.5625</x:v>
      </x:c>
      <x:c r="C125" s="59" t="n">
        <x:v>881.9749755859375</x:v>
      </x:c>
      <x:c r="D125" s="59" t="n">
        <x:v>850</x:v>
      </x:c>
      <x:c r="E125" s="59" t="n">
        <x:v>850</x:v>
      </x:c>
      <x:c r="F125" s="73" t="n">
        <x:v>1</x:v>
      </x:c>
      <x:c r="G125" s="59" t="n">
        <x:v>881.9749755859375</x:v>
      </x:c>
      <x:c r="H125" s="23" t="str">
        <x:v>raw_open × adjusted_close / raw_close</x:v>
      </x:c>
      <x:c r="I125" s="76" t="str">
        <x:v>https://query1.finance.yahoo.com/v8/finance/chart/LITE?period1=1779284110&amp;period2=1785815999&amp;interval=1d&amp;events=div%2Csplits&amp;includeAdjustedClose=true</x:v>
      </x:c>
      <x:c r="J125" s="23" t="str">
        <x:v>R0 방법론 검증 전용</x:v>
      </x:c>
    </x:row>
    <x:row r="126">
      <x:c r="A126" s="23" t="str">
        <x:v>LITE</x:v>
      </x:c>
      <x:c r="B126" s="53" t="n">
        <x:v>46195.5625</x:v>
      </x:c>
      <x:c r="C126" s="59" t="n">
        <x:v>852.52001953125</x:v>
      </x:c>
      <x:c r="D126" s="59" t="n">
        <x:v>893.9299926757812</x:v>
      </x:c>
      <x:c r="E126" s="59" t="n">
        <x:v>893.9299926757812</x:v>
      </x:c>
      <x:c r="F126" s="73" t="n">
        <x:v>1</x:v>
      </x:c>
      <x:c r="G126" s="59" t="n">
        <x:v>852.52001953125</x:v>
      </x:c>
      <x:c r="H126" s="23" t="str">
        <x:v>raw_open × adjusted_close / raw_close</x:v>
      </x:c>
      <x:c r="I126" s="76" t="str">
        <x:v>https://query1.finance.yahoo.com/v8/finance/chart/LITE?period1=1779284110&amp;period2=1785815999&amp;interval=1d&amp;events=div%2Csplits&amp;includeAdjustedClose=true</x:v>
      </x:c>
      <x:c r="J126" s="23" t="str">
        <x:v>R0 방법론 검증 전용</x:v>
      </x:c>
    </x:row>
    <x:row r="127">
      <x:c r="A127" s="23" t="str">
        <x:v>LITE</x:v>
      </x:c>
      <x:c r="B127" s="53" t="n">
        <x:v>46196.5625</x:v>
      </x:c>
      <x:c r="C127" s="59" t="n">
        <x:v>832.1500244140625</x:v>
      </x:c>
      <x:c r="D127" s="59" t="n">
        <x:v>827.9199829101562</x:v>
      </x:c>
      <x:c r="E127" s="59" t="n">
        <x:v>827.9199829101562</x:v>
      </x:c>
      <x:c r="F127" s="73" t="n">
        <x:v>1</x:v>
      </x:c>
      <x:c r="G127" s="59" t="n">
        <x:v>832.1500244140625</x:v>
      </x:c>
      <x:c r="H127" s="23" t="str">
        <x:v>raw_open × adjusted_close / raw_close</x:v>
      </x:c>
      <x:c r="I127" s="76" t="str">
        <x:v>https://query1.finance.yahoo.com/v8/finance/chart/LITE?period1=1779284110&amp;period2=1785815999&amp;interval=1d&amp;events=div%2Csplits&amp;includeAdjustedClose=true</x:v>
      </x:c>
      <x:c r="J127" s="23" t="str">
        <x:v>R0 방법론 검증 전용</x:v>
      </x:c>
    </x:row>
    <x:row r="128">
      <x:c r="A128" s="23" t="str">
        <x:v>LITE</x:v>
      </x:c>
      <x:c r="B128" s="53" t="n">
        <x:v>46197.5625</x:v>
      </x:c>
      <x:c r="C128" s="59" t="n">
        <x:v>825</x:v>
      </x:c>
      <x:c r="D128" s="59" t="n">
        <x:v>842.530029296875</x:v>
      </x:c>
      <x:c r="E128" s="59" t="n">
        <x:v>842.530029296875</x:v>
      </x:c>
      <x:c r="F128" s="73" t="n">
        <x:v>1</x:v>
      </x:c>
      <x:c r="G128" s="59" t="n">
        <x:v>825</x:v>
      </x:c>
      <x:c r="H128" s="23" t="str">
        <x:v>raw_open × adjusted_close / raw_close</x:v>
      </x:c>
      <x:c r="I128" s="76" t="str">
        <x:v>https://query1.finance.yahoo.com/v8/finance/chart/LITE?period1=1779284110&amp;period2=1785815999&amp;interval=1d&amp;events=div%2Csplits&amp;includeAdjustedClose=true</x:v>
      </x:c>
      <x:c r="J128" s="23" t="str">
        <x:v>R0 방법론 검증 전용</x:v>
      </x:c>
    </x:row>
    <x:row r="129">
      <x:c r="A129" s="23" t="str">
        <x:v>LITE</x:v>
      </x:c>
      <x:c r="B129" s="53" t="n">
        <x:v>46198.5625</x:v>
      </x:c>
      <x:c r="C129" s="59" t="n">
        <x:v>887.25</x:v>
      </x:c>
      <x:c r="D129" s="59" t="n">
        <x:v>861.969970703125</x:v>
      </x:c>
      <x:c r="E129" s="59" t="n">
        <x:v>861.969970703125</x:v>
      </x:c>
      <x:c r="F129" s="73" t="n">
        <x:v>1</x:v>
      </x:c>
      <x:c r="G129" s="59" t="n">
        <x:v>887.25</x:v>
      </x:c>
      <x:c r="H129" s="23" t="str">
        <x:v>raw_open × adjusted_close / raw_close</x:v>
      </x:c>
      <x:c r="I129" s="76" t="str">
        <x:v>https://query1.finance.yahoo.com/v8/finance/chart/LITE?period1=1779284110&amp;period2=1785815999&amp;interval=1d&amp;events=div%2Csplits&amp;includeAdjustedClose=true</x:v>
      </x:c>
      <x:c r="J129" s="23" t="str">
        <x:v>R0 방법론 검증 전용</x:v>
      </x:c>
    </x:row>
    <x:row r="130">
      <x:c r="A130" s="23" t="str">
        <x:v>LITE</x:v>
      </x:c>
      <x:c r="B130" s="53" t="n">
        <x:v>46199.5625</x:v>
      </x:c>
      <x:c r="C130" s="59" t="n">
        <x:v>822.5499877929688</x:v>
      </x:c>
      <x:c r="D130" s="59" t="n">
        <x:v>816.97998046875</x:v>
      </x:c>
      <x:c r="E130" s="59" t="n">
        <x:v>816.97998046875</x:v>
      </x:c>
      <x:c r="F130" s="73" t="n">
        <x:v>1</x:v>
      </x:c>
      <x:c r="G130" s="59" t="n">
        <x:v>822.5499877929688</x:v>
      </x:c>
      <x:c r="H130" s="23" t="str">
        <x:v>raw_open × adjusted_close / raw_close</x:v>
      </x:c>
      <x:c r="I130" s="76" t="str">
        <x:v>https://query1.finance.yahoo.com/v8/finance/chart/LITE?period1=1779284110&amp;period2=1785815999&amp;interval=1d&amp;events=div%2Csplits&amp;includeAdjustedClose=true</x:v>
      </x:c>
      <x:c r="J130" s="23" t="str">
        <x:v>R0 방법론 검증 전용</x:v>
      </x:c>
    </x:row>
    <x:row r="131">
      <x:c r="A131" s="23" t="str">
        <x:v>LITE</x:v>
      </x:c>
      <x:c r="B131" s="53" t="n">
        <x:v>46202.5625</x:v>
      </x:c>
      <x:c r="C131" s="59" t="n">
        <x:v>806.010009765625</x:v>
      </x:c>
      <x:c r="D131" s="59" t="n">
        <x:v>851.4000244140625</x:v>
      </x:c>
      <x:c r="E131" s="59" t="n">
        <x:v>851.4000244140625</x:v>
      </x:c>
      <x:c r="F131" s="73" t="n">
        <x:v>1</x:v>
      </x:c>
      <x:c r="G131" s="59" t="n">
        <x:v>806.010009765625</x:v>
      </x:c>
      <x:c r="H131" s="23" t="str">
        <x:v>raw_open × adjusted_close / raw_close</x:v>
      </x:c>
      <x:c r="I131" s="76" t="str">
        <x:v>https://query1.finance.yahoo.com/v8/finance/chart/LITE?period1=1779284110&amp;period2=1785815999&amp;interval=1d&amp;events=div%2Csplits&amp;includeAdjustedClose=true</x:v>
      </x:c>
      <x:c r="J131" s="23" t="str">
        <x:v>R0 방법론 검증 전용</x:v>
      </x:c>
    </x:row>
    <x:row r="132">
      <x:c r="A132" s="23" t="str">
        <x:v>LITE</x:v>
      </x:c>
      <x:c r="B132" s="53" t="n">
        <x:v>46203.5625</x:v>
      </x:c>
      <x:c r="C132" s="59" t="n">
        <x:v>844.030029296875</x:v>
      </x:c>
      <x:c r="D132" s="59" t="n">
        <x:v>858.0599975585938</x:v>
      </x:c>
      <x:c r="E132" s="59" t="n">
        <x:v>858.0599975585938</x:v>
      </x:c>
      <x:c r="F132" s="73" t="n">
        <x:v>1</x:v>
      </x:c>
      <x:c r="G132" s="59" t="n">
        <x:v>844.030029296875</x:v>
      </x:c>
      <x:c r="H132" s="23" t="str">
        <x:v>raw_open × adjusted_close / raw_close</x:v>
      </x:c>
      <x:c r="I132" s="76" t="str">
        <x:v>https://query1.finance.yahoo.com/v8/finance/chart/LITE?period1=1779284110&amp;period2=1785815999&amp;interval=1d&amp;events=div%2Csplits&amp;includeAdjustedClose=true</x:v>
      </x:c>
      <x:c r="J132" s="23" t="str">
        <x:v>R0 방법론 검증 전용</x:v>
      </x:c>
    </x:row>
    <x:row r="133">
      <x:c r="A133" s="23" t="str">
        <x:v>LITE</x:v>
      </x:c>
      <x:c r="B133" s="53" t="n">
        <x:v>46204.5625</x:v>
      </x:c>
      <x:c r="C133" s="59" t="n">
        <x:v>818.405029296875</x:v>
      </x:c>
      <x:c r="D133" s="59" t="n">
        <x:v>801.1599731445312</x:v>
      </x:c>
      <x:c r="E133" s="59" t="n">
        <x:v>801.1599731445312</x:v>
      </x:c>
      <x:c r="F133" s="73" t="n">
        <x:v>1</x:v>
      </x:c>
      <x:c r="G133" s="59" t="n">
        <x:v>818.405029296875</x:v>
      </x:c>
      <x:c r="H133" s="23" t="str">
        <x:v>raw_open × adjusted_close / raw_close</x:v>
      </x:c>
      <x:c r="I133" s="76" t="str">
        <x:v>https://query1.finance.yahoo.com/v8/finance/chart/LITE?period1=1779284110&amp;period2=1785815999&amp;interval=1d&amp;events=div%2Csplits&amp;includeAdjustedClose=true</x:v>
      </x:c>
      <x:c r="J133" s="23" t="str">
        <x:v>R0 방법론 검증 전용</x:v>
      </x:c>
    </x:row>
    <x:row r="134">
      <x:c r="A134" s="23" t="str">
        <x:v>LITE</x:v>
      </x:c>
      <x:c r="B134" s="53" t="n">
        <x:v>46205.5625</x:v>
      </x:c>
      <x:c r="C134" s="59" t="n">
        <x:v>777.5750122070312</x:v>
      </x:c>
      <x:c r="D134" s="59" t="n">
        <x:v>728.3200073242188</x:v>
      </x:c>
      <x:c r="E134" s="59" t="n">
        <x:v>728.3200073242188</x:v>
      </x:c>
      <x:c r="F134" s="73" t="n">
        <x:v>1</x:v>
      </x:c>
      <x:c r="G134" s="59" t="n">
        <x:v>777.5750122070312</x:v>
      </x:c>
      <x:c r="H134" s="23" t="str">
        <x:v>raw_open × adjusted_close / raw_close</x:v>
      </x:c>
      <x:c r="I134" s="76" t="str">
        <x:v>https://query1.finance.yahoo.com/v8/finance/chart/LITE?period1=1779284110&amp;period2=1785815999&amp;interval=1d&amp;events=div%2Csplits&amp;includeAdjustedClose=true</x:v>
      </x:c>
      <x:c r="J134" s="23" t="str">
        <x:v>R0 방법론 검증 전용</x:v>
      </x:c>
    </x:row>
    <x:row r="135">
      <x:c r="A135" s="23" t="str">
        <x:v>LITE</x:v>
      </x:c>
      <x:c r="B135" s="53" t="n">
        <x:v>46209.5625</x:v>
      </x:c>
      <x:c r="C135" s="59" t="n">
        <x:v>729</x:v>
      </x:c>
      <x:c r="D135" s="59" t="n">
        <x:v>731.25</x:v>
      </x:c>
      <x:c r="E135" s="59" t="n">
        <x:v>731.25</x:v>
      </x:c>
      <x:c r="F135" s="73" t="n">
        <x:v>1</x:v>
      </x:c>
      <x:c r="G135" s="59" t="n">
        <x:v>729</x:v>
      </x:c>
      <x:c r="H135" s="23" t="str">
        <x:v>raw_open × adjusted_close / raw_close</x:v>
      </x:c>
      <x:c r="I135" s="76" t="str">
        <x:v>https://query1.finance.yahoo.com/v8/finance/chart/LITE?period1=1779284110&amp;period2=1785815999&amp;interval=1d&amp;events=div%2Csplits&amp;includeAdjustedClose=true</x:v>
      </x:c>
      <x:c r="J135" s="23" t="str">
        <x:v>R0 방법론 검증 전용</x:v>
      </x:c>
    </x:row>
    <x:row r="136">
      <x:c r="A136" s="23" t="str">
        <x:v>LITE</x:v>
      </x:c>
      <x:c r="B136" s="53" t="n">
        <x:v>46210.5625</x:v>
      </x:c>
      <x:c r="C136" s="59" t="n">
        <x:v>699.4199829101562</x:v>
      </x:c>
      <x:c r="D136" s="59" t="n">
        <x:v>698.9099731445312</x:v>
      </x:c>
      <x:c r="E136" s="59" t="n">
        <x:v>698.9099731445312</x:v>
      </x:c>
      <x:c r="F136" s="73" t="n">
        <x:v>1</x:v>
      </x:c>
      <x:c r="G136" s="59" t="n">
        <x:v>699.4199829101562</x:v>
      </x:c>
      <x:c r="H136" s="23" t="str">
        <x:v>raw_open × adjusted_close / raw_close</x:v>
      </x:c>
      <x:c r="I136" s="76" t="str">
        <x:v>https://query1.finance.yahoo.com/v8/finance/chart/LITE?period1=1779284110&amp;period2=1785815999&amp;interval=1d&amp;events=div%2Csplits&amp;includeAdjustedClose=true</x:v>
      </x:c>
      <x:c r="J136" s="23" t="str">
        <x:v>R0 방법론 검증 전용</x:v>
      </x:c>
    </x:row>
    <x:row r="137">
      <x:c r="A137" s="23" t="str">
        <x:v>LITE</x:v>
      </x:c>
      <x:c r="B137" s="53" t="n">
        <x:v>46211.5625</x:v>
      </x:c>
      <x:c r="C137" s="59" t="n">
        <x:v>688.9000244140625</x:v>
      </x:c>
      <x:c r="D137" s="59" t="n">
        <x:v>707.0999755859375</x:v>
      </x:c>
      <x:c r="E137" s="59" t="n">
        <x:v>707.0999755859375</x:v>
      </x:c>
      <x:c r="F137" s="73" t="n">
        <x:v>1</x:v>
      </x:c>
      <x:c r="G137" s="59" t="n">
        <x:v>688.9000244140625</x:v>
      </x:c>
      <x:c r="H137" s="23" t="str">
        <x:v>raw_open × adjusted_close / raw_close</x:v>
      </x:c>
      <x:c r="I137" s="76" t="str">
        <x:v>https://query1.finance.yahoo.com/v8/finance/chart/LITE?period1=1779284110&amp;period2=1785815999&amp;interval=1d&amp;events=div%2Csplits&amp;includeAdjustedClose=true</x:v>
      </x:c>
      <x:c r="J137" s="23" t="str">
        <x:v>R0 방법론 검증 전용</x:v>
      </x:c>
    </x:row>
    <x:row r="138">
      <x:c r="A138" s="23" t="str">
        <x:v>LITE</x:v>
      </x:c>
      <x:c r="B138" s="53" t="n">
        <x:v>46212.5625</x:v>
      </x:c>
      <x:c r="C138" s="59" t="n">
        <x:v>755.155029296875</x:v>
      </x:c>
      <x:c r="D138" s="59" t="n">
        <x:v>785.77001953125</x:v>
      </x:c>
      <x:c r="E138" s="59" t="n">
        <x:v>785.77001953125</x:v>
      </x:c>
      <x:c r="F138" s="73" t="n">
        <x:v>1</x:v>
      </x:c>
      <x:c r="G138" s="59" t="n">
        <x:v>755.155029296875</x:v>
      </x:c>
      <x:c r="H138" s="23" t="str">
        <x:v>raw_open × adjusted_close / raw_close</x:v>
      </x:c>
      <x:c r="I138" s="76" t="str">
        <x:v>https://query1.finance.yahoo.com/v8/finance/chart/LITE?period1=1779284110&amp;period2=1785815999&amp;interval=1d&amp;events=div%2Csplits&amp;includeAdjustedClose=true</x:v>
      </x:c>
      <x:c r="J138" s="23" t="str">
        <x:v>R0 방법론 검증 전용</x:v>
      </x:c>
    </x:row>
    <x:row r="139">
      <x:c r="A139" s="23" t="str">
        <x:v>LITE</x:v>
      </x:c>
      <x:c r="B139" s="53" t="n">
        <x:v>46213.5625</x:v>
      </x:c>
      <x:c r="C139" s="59" t="n">
        <x:v>769.5449829101562</x:v>
      </x:c>
      <x:c r="D139" s="59" t="n">
        <x:v>802.010009765625</x:v>
      </x:c>
      <x:c r="E139" s="59" t="n">
        <x:v>802.010009765625</x:v>
      </x:c>
      <x:c r="F139" s="73" t="n">
        <x:v>1</x:v>
      </x:c>
      <x:c r="G139" s="59" t="n">
        <x:v>769.5449829101562</x:v>
      </x:c>
      <x:c r="H139" s="23" t="str">
        <x:v>raw_open × adjusted_close / raw_close</x:v>
      </x:c>
      <x:c r="I139" s="76" t="str">
        <x:v>https://query1.finance.yahoo.com/v8/finance/chart/LITE?period1=1779284110&amp;period2=1785815999&amp;interval=1d&amp;events=div%2Csplits&amp;includeAdjustedClose=true</x:v>
      </x:c>
      <x:c r="J139" s="23" t="str">
        <x:v>R0 방법론 검증 전용</x:v>
      </x:c>
    </x:row>
    <x:row r="140">
      <x:c r="A140" s="23" t="str">
        <x:v>LITE</x:v>
      </x:c>
      <x:c r="B140" s="53" t="n">
        <x:v>46216.5625</x:v>
      </x:c>
      <x:c r="C140" s="59" t="n">
        <x:v>778.3800048828125</x:v>
      </x:c>
      <x:c r="D140" s="59" t="n">
        <x:v>768.1500244140625</x:v>
      </x:c>
      <x:c r="E140" s="59" t="n">
        <x:v>768.1500244140625</x:v>
      </x:c>
      <x:c r="F140" s="73" t="n">
        <x:v>1</x:v>
      </x:c>
      <x:c r="G140" s="59" t="n">
        <x:v>778.3800048828125</x:v>
      </x:c>
      <x:c r="H140" s="23" t="str">
        <x:v>raw_open × adjusted_close / raw_close</x:v>
      </x:c>
      <x:c r="I140" s="76" t="str">
        <x:v>https://query1.finance.yahoo.com/v8/finance/chart/LITE?period1=1779284110&amp;period2=1785815999&amp;interval=1d&amp;events=div%2Csplits&amp;includeAdjustedClose=true</x:v>
      </x:c>
      <x:c r="J140" s="23" t="str">
        <x:v>R0 방법론 검증 전용</x:v>
      </x:c>
    </x:row>
    <x:row r="141">
      <x:c r="A141" s="23" t="str">
        <x:v>LITE</x:v>
      </x:c>
      <x:c r="B141" s="53" t="n">
        <x:v>46217.5625</x:v>
      </x:c>
      <x:c r="C141" s="59" t="n">
        <x:v>816.260009765625</x:v>
      </x:c>
      <x:c r="D141" s="59" t="n">
        <x:v>814.7999877929688</x:v>
      </x:c>
      <x:c r="E141" s="59" t="n">
        <x:v>814.7999877929688</x:v>
      </x:c>
      <x:c r="F141" s="73" t="n">
        <x:v>1</x:v>
      </x:c>
      <x:c r="G141" s="59" t="n">
        <x:v>816.260009765625</x:v>
      </x:c>
      <x:c r="H141" s="23" t="str">
        <x:v>raw_open × adjusted_close / raw_close</x:v>
      </x:c>
      <x:c r="I141" s="76" t="str">
        <x:v>https://query1.finance.yahoo.com/v8/finance/chart/LITE?period1=1779284110&amp;period2=1785815999&amp;interval=1d&amp;events=div%2Csplits&amp;includeAdjustedClose=true</x:v>
      </x:c>
      <x:c r="J141" s="23" t="str">
        <x:v>R0 방법론 검증 전용</x:v>
      </x:c>
    </x:row>
    <x:row r="142">
      <x:c r="A142" s="23" t="str">
        <x:v>LITE</x:v>
      </x:c>
      <x:c r="B142" s="53" t="n">
        <x:v>46218.5625</x:v>
      </x:c>
      <x:c r="C142" s="59" t="n">
        <x:v>813.9500122070312</x:v>
      </x:c>
      <x:c r="D142" s="59" t="n">
        <x:v>752</x:v>
      </x:c>
      <x:c r="E142" s="59" t="n">
        <x:v>752</x:v>
      </x:c>
      <x:c r="F142" s="73" t="n">
        <x:v>1</x:v>
      </x:c>
      <x:c r="G142" s="59" t="n">
        <x:v>813.9500122070312</x:v>
      </x:c>
      <x:c r="H142" s="23" t="str">
        <x:v>raw_open × adjusted_close / raw_close</x:v>
      </x:c>
      <x:c r="I142" s="76" t="str">
        <x:v>https://query1.finance.yahoo.com/v8/finance/chart/LITE?period1=1779284110&amp;period2=1785815999&amp;interval=1d&amp;events=div%2Csplits&amp;includeAdjustedClose=true</x:v>
      </x:c>
      <x:c r="J142" s="23" t="str">
        <x:v>R0 방법론 검증 전용</x:v>
      </x:c>
    </x:row>
    <x:row r="143">
      <x:c r="A143" s="23" t="str">
        <x:v>LITE</x:v>
      </x:c>
      <x:c r="B143" s="53" t="n">
        <x:v>46219.5625</x:v>
      </x:c>
      <x:c r="C143" s="59" t="n">
        <x:v>731.3900146484375</x:v>
      </x:c>
      <x:c r="D143" s="59" t="n">
        <x:v>706.22998046875</x:v>
      </x:c>
      <x:c r="E143" s="59" t="n">
        <x:v>706.22998046875</x:v>
      </x:c>
      <x:c r="F143" s="73" t="n">
        <x:v>1</x:v>
      </x:c>
      <x:c r="G143" s="59" t="n">
        <x:v>731.3900146484375</x:v>
      </x:c>
      <x:c r="H143" s="23" t="str">
        <x:v>raw_open × adjusted_close / raw_close</x:v>
      </x:c>
      <x:c r="I143" s="76" t="str">
        <x:v>https://query1.finance.yahoo.com/v8/finance/chart/LITE?period1=1779284110&amp;period2=1785815999&amp;interval=1d&amp;events=div%2Csplits&amp;includeAdjustedClose=true</x:v>
      </x:c>
      <x:c r="J143" s="23" t="str">
        <x:v>R0 방법론 검증 전용</x:v>
      </x:c>
    </x:row>
    <x:row r="144">
      <x:c r="A144" s="23" t="str">
        <x:v>LITE</x:v>
      </x:c>
      <x:c r="B144" s="53" t="n">
        <x:v>46220.5625</x:v>
      </x:c>
      <x:c r="C144" s="59" t="n">
        <x:v>678.469970703125</x:v>
      </x:c>
      <x:c r="D144" s="59" t="n">
        <x:v>732.8200073242188</x:v>
      </x:c>
      <x:c r="E144" s="59" t="n">
        <x:v>732.8200073242188</x:v>
      </x:c>
      <x:c r="F144" s="73" t="n">
        <x:v>1</x:v>
      </x:c>
      <x:c r="G144" s="59" t="n">
        <x:v>678.469970703125</x:v>
      </x:c>
      <x:c r="H144" s="23" t="str">
        <x:v>raw_open × adjusted_close / raw_close</x:v>
      </x:c>
      <x:c r="I144" s="76" t="str">
        <x:v>https://query1.finance.yahoo.com/v8/finance/chart/LITE?period1=1779284110&amp;period2=1785815999&amp;interval=1d&amp;events=div%2Csplits&amp;includeAdjustedClose=true</x:v>
      </x:c>
      <x:c r="J144" s="23" t="str">
        <x:v>R0 방법론 검증 전용</x:v>
      </x:c>
    </x:row>
    <x:row r="145">
      <x:c r="A145" s="23" t="str">
        <x:v>LITE</x:v>
      </x:c>
      <x:c r="B145" s="53" t="n">
        <x:v>46223.5625</x:v>
      </x:c>
      <x:c r="C145" s="59" t="n">
        <x:v>764.1300048828125</x:v>
      </x:c>
      <x:c r="D145" s="59" t="n">
        <x:v>765.5499877929688</x:v>
      </x:c>
      <x:c r="E145" s="59" t="n">
        <x:v>765.5499877929688</x:v>
      </x:c>
      <x:c r="F145" s="73" t="n">
        <x:v>1</x:v>
      </x:c>
      <x:c r="G145" s="59" t="n">
        <x:v>764.1300048828125</x:v>
      </x:c>
      <x:c r="H145" s="23" t="str">
        <x:v>raw_open × adjusted_close / raw_close</x:v>
      </x:c>
      <x:c r="I145" s="76" t="str">
        <x:v>https://query1.finance.yahoo.com/v8/finance/chart/LITE?period1=1779284110&amp;period2=1785815999&amp;interval=1d&amp;events=div%2Csplits&amp;includeAdjustedClose=true</x:v>
      </x:c>
      <x:c r="J145" s="23" t="str">
        <x:v>R0 방법론 검증 전용</x:v>
      </x:c>
    </x:row>
    <x:row r="146">
      <x:c r="A146" s="23" t="str">
        <x:v>LITE</x:v>
      </x:c>
      <x:c r="B146" s="53" t="n">
        <x:v>46224.5625</x:v>
      </x:c>
      <x:c r="C146" s="59" t="n">
        <x:v>811.5</x:v>
      </x:c>
      <x:c r="D146" s="59" t="n">
        <x:v>837.5599975585938</x:v>
      </x:c>
      <x:c r="E146" s="59" t="n">
        <x:v>837.5599975585938</x:v>
      </x:c>
      <x:c r="F146" s="73" t="n">
        <x:v>1</x:v>
      </x:c>
      <x:c r="G146" s="59" t="n">
        <x:v>811.5</x:v>
      </x:c>
      <x:c r="H146" s="23" t="str">
        <x:v>raw_open × adjusted_close / raw_close</x:v>
      </x:c>
      <x:c r="I146" s="76" t="str">
        <x:v>https://query1.finance.yahoo.com/v8/finance/chart/LITE?period1=1779284110&amp;period2=1785815999&amp;interval=1d&amp;events=div%2Csplits&amp;includeAdjustedClose=true</x:v>
      </x:c>
      <x:c r="J146" s="23" t="str">
        <x:v>R0 방법론 검증 전용</x:v>
      </x:c>
    </x:row>
    <x:row r="147">
      <x:c r="A147" s="23" t="str">
        <x:v>LITE</x:v>
      </x:c>
      <x:c r="B147" s="53" t="n">
        <x:v>46225.5625</x:v>
      </x:c>
      <x:c r="C147" s="59" t="n">
        <x:v>810.219970703125</x:v>
      </x:c>
      <x:c r="D147" s="59" t="n">
        <x:v>829.7000122070312</x:v>
      </x:c>
      <x:c r="E147" s="59" t="n">
        <x:v>829.7000122070312</x:v>
      </x:c>
      <x:c r="F147" s="73" t="n">
        <x:v>1</x:v>
      </x:c>
      <x:c r="G147" s="59" t="n">
        <x:v>810.219970703125</x:v>
      </x:c>
      <x:c r="H147" s="23" t="str">
        <x:v>raw_open × adjusted_close / raw_close</x:v>
      </x:c>
      <x:c r="I147" s="76" t="str">
        <x:v>https://query1.finance.yahoo.com/v8/finance/chart/LITE?period1=1779284110&amp;period2=1785815999&amp;interval=1d&amp;events=div%2Csplits&amp;includeAdjustedClose=true</x:v>
      </x:c>
      <x:c r="J147" s="23" t="str">
        <x:v>R0 방법론 검증 전용</x:v>
      </x:c>
    </x:row>
    <x:row r="148">
      <x:c r="A148" s="23" t="str">
        <x:v>LITE</x:v>
      </x:c>
      <x:c r="B148" s="53" t="n">
        <x:v>46226.5625</x:v>
      </x:c>
      <x:c r="C148" s="59" t="n">
        <x:v>841</x:v>
      </x:c>
      <x:c r="D148" s="59" t="n">
        <x:v>833.6400146484375</x:v>
      </x:c>
      <x:c r="E148" s="59" t="n">
        <x:v>833.6400146484375</x:v>
      </x:c>
      <x:c r="F148" s="73" t="n">
        <x:v>1</x:v>
      </x:c>
      <x:c r="G148" s="59" t="n">
        <x:v>841</x:v>
      </x:c>
      <x:c r="H148" s="23" t="str">
        <x:v>raw_open × adjusted_close / raw_close</x:v>
      </x:c>
      <x:c r="I148" s="76" t="str">
        <x:v>https://query1.finance.yahoo.com/v8/finance/chart/LITE?period1=1779284110&amp;period2=1785815999&amp;interval=1d&amp;events=div%2Csplits&amp;includeAdjustedClose=true</x:v>
      </x:c>
      <x:c r="J148" s="23" t="str">
        <x:v>R0 방법론 검증 전용</x:v>
      </x:c>
    </x:row>
    <x:row r="149">
      <x:c r="A149" s="23" t="str">
        <x:v>LITE</x:v>
      </x:c>
      <x:c r="B149" s="53" t="n">
        <x:v>46227.5625</x:v>
      </x:c>
      <x:c r="C149" s="59" t="n">
        <x:v>810.5</x:v>
      </x:c>
      <x:c r="D149" s="59" t="n">
        <x:v>762.989990234375</x:v>
      </x:c>
      <x:c r="E149" s="59" t="n">
        <x:v>762.989990234375</x:v>
      </x:c>
      <x:c r="F149" s="73" t="n">
        <x:v>1</x:v>
      </x:c>
      <x:c r="G149" s="59" t="n">
        <x:v>810.5</x:v>
      </x:c>
      <x:c r="H149" s="23" t="str">
        <x:v>raw_open × adjusted_close / raw_close</x:v>
      </x:c>
      <x:c r="I149" s="76" t="str">
        <x:v>https://query1.finance.yahoo.com/v8/finance/chart/LITE?period1=1779284110&amp;period2=1785815999&amp;interval=1d&amp;events=div%2Csplits&amp;includeAdjustedClose=true</x:v>
      </x:c>
      <x:c r="J149" s="23" t="str">
        <x:v>R0 방법론 검증 전용</x:v>
      </x:c>
    </x:row>
    <x:row r="150">
      <x:c r="A150" s="23" t="str">
        <x:v>LITE</x:v>
      </x:c>
      <x:c r="B150" s="53" t="n">
        <x:v>46230.5625</x:v>
      </x:c>
      <x:c r="C150" s="59" t="n">
        <x:v>767.8499755859375</x:v>
      </x:c>
      <x:c r="D150" s="59" t="n">
        <x:v>711.9600219726562</x:v>
      </x:c>
      <x:c r="E150" s="59" t="n">
        <x:v>711.9600219726562</x:v>
      </x:c>
      <x:c r="F150" s="73" t="n">
        <x:v>1</x:v>
      </x:c>
      <x:c r="G150" s="59" t="n">
        <x:v>767.8499755859375</x:v>
      </x:c>
      <x:c r="H150" s="23" t="str">
        <x:v>raw_open × adjusted_close / raw_close</x:v>
      </x:c>
      <x:c r="I150" s="76" t="str">
        <x:v>https://query1.finance.yahoo.com/v8/finance/chart/LITE?period1=1779284110&amp;period2=1785815999&amp;interval=1d&amp;events=div%2Csplits&amp;includeAdjustedClose=true</x:v>
      </x:c>
      <x:c r="J150" s="23" t="str">
        <x:v>R0 방법론 검증 전용</x:v>
      </x:c>
    </x:row>
    <x:row r="151">
      <x:c r="A151" s="23" t="str">
        <x:v>LITE</x:v>
      </x:c>
      <x:c r="B151" s="53" t="n">
        <x:v>46231.5625</x:v>
      </x:c>
      <x:c r="C151" s="59" t="n">
        <x:v>677.5499877929688</x:v>
      </x:c>
      <x:c r="D151" s="59" t="n">
        <x:v>651.9299926757812</x:v>
      </x:c>
      <x:c r="E151" s="59" t="n">
        <x:v>651.9299926757812</x:v>
      </x:c>
      <x:c r="F151" s="73" t="n">
        <x:v>1</x:v>
      </x:c>
      <x:c r="G151" s="59" t="n">
        <x:v>677.5499877929688</x:v>
      </x:c>
      <x:c r="H151" s="23" t="str">
        <x:v>raw_open × adjusted_close / raw_close</x:v>
      </x:c>
      <x:c r="I151" s="76" t="str">
        <x:v>https://query1.finance.yahoo.com/v8/finance/chart/LITE?period1=1779284110&amp;period2=1785815999&amp;interval=1d&amp;events=div%2Csplits&amp;includeAdjustedClose=true</x:v>
      </x:c>
      <x:c r="J151" s="23" t="str">
        <x:v>R0 방법론 검증 전용</x:v>
      </x:c>
    </x:row>
    <x:row r="152">
      <x:c r="A152" s="23" t="str">
        <x:v>LITE</x:v>
      </x:c>
      <x:c r="B152" s="53" t="n">
        <x:v>46232.5625</x:v>
      </x:c>
      <x:c r="C152" s="59" t="n">
        <x:v>655.2100219726562</x:v>
      </x:c>
      <x:c r="D152" s="59" t="n">
        <x:v>602.3499755859375</x:v>
      </x:c>
      <x:c r="E152" s="59" t="n">
        <x:v>602.3499755859375</x:v>
      </x:c>
      <x:c r="F152" s="73" t="n">
        <x:v>1</x:v>
      </x:c>
      <x:c r="G152" s="59" t="n">
        <x:v>655.2100219726562</x:v>
      </x:c>
      <x:c r="H152" s="23" t="str">
        <x:v>raw_open × adjusted_close / raw_close</x:v>
      </x:c>
      <x:c r="I152" s="76" t="str">
        <x:v>https://query1.finance.yahoo.com/v8/finance/chart/LITE?period1=1779284110&amp;period2=1785815999&amp;interval=1d&amp;events=div%2Csplits&amp;includeAdjustedClose=true</x:v>
      </x:c>
      <x:c r="J152" s="23" t="str">
        <x:v>R0 방법론 검증 전용</x:v>
      </x:c>
    </x:row>
    <x:row r="153">
      <x:c r="A153" s="23" t="str">
        <x:v>LITE</x:v>
      </x:c>
      <x:c r="B153" s="53" t="n">
        <x:v>46233.5625</x:v>
      </x:c>
      <x:c r="C153" s="59" t="n">
        <x:v>661.9099731445312</x:v>
      </x:c>
      <x:c r="D153" s="59" t="n">
        <x:v>693.239990234375</x:v>
      </x:c>
      <x:c r="E153" s="59" t="n">
        <x:v>693.239990234375</x:v>
      </x:c>
      <x:c r="F153" s="73" t="n">
        <x:v>1</x:v>
      </x:c>
      <x:c r="G153" s="59" t="n">
        <x:v>661.9099731445312</x:v>
      </x:c>
      <x:c r="H153" s="23" t="str">
        <x:v>raw_open × adjusted_close / raw_close</x:v>
      </x:c>
      <x:c r="I153" s="76" t="str">
        <x:v>https://query1.finance.yahoo.com/v8/finance/chart/LITE?period1=1779284110&amp;period2=1785815999&amp;interval=1d&amp;events=div%2Csplits&amp;includeAdjustedClose=true</x:v>
      </x:c>
      <x:c r="J153" s="23" t="str">
        <x:v>R0 방법론 검증 전용</x:v>
      </x:c>
    </x:row>
    <x:row r="154">
      <x:c r="A154" s="23" t="str">
        <x:v>LITE</x:v>
      </x:c>
      <x:c r="B154" s="53" t="n">
        <x:v>46234.5625</x:v>
      </x:c>
      <x:c r="C154" s="59" t="n">
        <x:v>748</x:v>
      </x:c>
      <x:c r="D154" s="59" t="n">
        <x:v>713.9400024414062</x:v>
      </x:c>
      <x:c r="E154" s="59" t="n">
        <x:v>713.9400024414062</x:v>
      </x:c>
      <x:c r="F154" s="73" t="n">
        <x:v>1</x:v>
      </x:c>
      <x:c r="G154" s="59" t="n">
        <x:v>748</x:v>
      </x:c>
      <x:c r="H154" s="23" t="str">
        <x:v>raw_open × adjusted_close / raw_close</x:v>
      </x:c>
      <x:c r="I154" s="76" t="str">
        <x:v>https://query1.finance.yahoo.com/v8/finance/chart/LITE?period1=1779284110&amp;period2=1785815999&amp;interval=1d&amp;events=div%2Csplits&amp;includeAdjustedClose=true</x:v>
      </x:c>
      <x:c r="J154" s="23" t="str">
        <x:v>R0 방법론 검증 전용</x:v>
      </x:c>
    </x:row>
    <x:row r="155">
      <x:c r="A155" s="23" t="str">
        <x:v>NVDA</x:v>
      </x:c>
      <x:c r="B155" s="53" t="n">
        <x:v>46162.5625</x:v>
      </x:c>
      <x:c r="C155" s="59" t="n">
        <x:v>223.17999267578125</x:v>
      </x:c>
      <x:c r="D155" s="59" t="n">
        <x:v>223.47000122070312</x:v>
      </x:c>
      <x:c r="E155" s="59" t="n">
        <x:v>223.20985412597656</x:v>
      </x:c>
      <x:c r="F155" s="73" t="n">
        <x:v>0.9988358746439991</x:v>
      </x:c>
      <x:c r="G155" s="59" t="n">
        <x:v>222.9201831873553</x:v>
      </x:c>
      <x:c r="H155" s="23" t="str">
        <x:v>raw_open × adjusted_close / raw_close</x:v>
      </x:c>
      <x:c r="I155" s="76" t="str">
        <x:v>https://query1.finance.yahoo.com/v8/finance/chart/NVDA?period1=1779284110&amp;period2=1785815999&amp;interval=1d&amp;events=div%2Csplits&amp;includeAdjustedClose=true</x:v>
      </x:c>
      <x:c r="J155" s="23" t="str">
        <x:v>R0 방법론 검증 전용</x:v>
      </x:c>
    </x:row>
    <x:row r="156">
      <x:c r="A156" s="23" t="str">
        <x:v>NVDA</x:v>
      </x:c>
      <x:c r="B156" s="53" t="n">
        <x:v>46163.5625</x:v>
      </x:c>
      <x:c r="C156" s="59" t="n">
        <x:v>222.2899932861328</x:v>
      </x:c>
      <x:c r="D156" s="59" t="n">
        <x:v>219.50999450683594</x:v>
      </x:c>
      <x:c r="E156" s="59" t="n">
        <x:v>219.25445556640625</x:v>
      </x:c>
      <x:c r="F156" s="73" t="n">
        <x:v>0.9988358664897979</x:v>
      </x:c>
      <x:c r="G156" s="59" t="n">
        <x:v>222.03121805596584</x:v>
      </x:c>
      <x:c r="H156" s="23" t="str">
        <x:v>raw_open × adjusted_close / raw_close</x:v>
      </x:c>
      <x:c r="I156" s="76" t="str">
        <x:v>https://query1.finance.yahoo.com/v8/finance/chart/NVDA?period1=1779284110&amp;period2=1785815999&amp;interval=1d&amp;events=div%2Csplits&amp;includeAdjustedClose=true</x:v>
      </x:c>
      <x:c r="J156" s="23" t="str">
        <x:v>R0 방법론 검증 전용</x:v>
      </x:c>
    </x:row>
    <x:row r="157">
      <x:c r="A157" s="23" t="str">
        <x:v>NVDA</x:v>
      </x:c>
      <x:c r="B157" s="53" t="n">
        <x:v>46164.5625</x:v>
      </x:c>
      <x:c r="C157" s="59" t="n">
        <x:v>220.89999389648438</x:v>
      </x:c>
      <x:c r="D157" s="59" t="n">
        <x:v>215.3300018310547</x:v>
      </x:c>
      <x:c r="E157" s="59" t="n">
        <x:v>215.07933044433594</x:v>
      </x:c>
      <x:c r="F157" s="73" t="n">
        <x:v>0.9988358733823101</x:v>
      </x:c>
      <x:c r="G157" s="59" t="n">
        <x:v>220.64283833374193</x:v>
      </x:c>
      <x:c r="H157" s="23" t="str">
        <x:v>raw_open × adjusted_close / raw_close</x:v>
      </x:c>
      <x:c r="I157" s="76" t="str">
        <x:v>https://query1.finance.yahoo.com/v8/finance/chart/NVDA?period1=1779284110&amp;period2=1785815999&amp;interval=1d&amp;events=div%2Csplits&amp;includeAdjustedClose=true</x:v>
      </x:c>
      <x:c r="J157" s="23" t="str">
        <x:v>R0 방법론 검증 전용</x:v>
      </x:c>
    </x:row>
    <x:row r="158">
      <x:c r="A158" s="23" t="str">
        <x:v>NVDA</x:v>
      </x:c>
      <x:c r="B158" s="53" t="n">
        <x:v>46168.5625</x:v>
      </x:c>
      <x:c r="C158" s="59" t="n">
        <x:v>216.5399932861328</x:v>
      </x:c>
      <x:c r="D158" s="59" t="n">
        <x:v>214.86000061035156</x:v>
      </x:c>
      <x:c r="E158" s="59" t="n">
        <x:v>214.60987854003906</x:v>
      </x:c>
      <x:c r="F158" s="73" t="n">
        <x:v>0.9988358835073909</x:v>
      </x:c>
      <x:c r="G158" s="59" t="n">
        <x:v>216.28791550863897</x:v>
      </x:c>
      <x:c r="H158" s="23" t="str">
        <x:v>raw_open × adjusted_close / raw_close</x:v>
      </x:c>
      <x:c r="I158" s="76" t="str">
        <x:v>https://query1.finance.yahoo.com/v8/finance/chart/NVDA?period1=1779284110&amp;period2=1785815999&amp;interval=1d&amp;events=div%2Csplits&amp;includeAdjustedClose=true</x:v>
      </x:c>
      <x:c r="J158" s="23" t="str">
        <x:v>R0 방법론 검증 전용</x:v>
      </x:c>
    </x:row>
    <x:row r="159">
      <x:c r="A159" s="23" t="str">
        <x:v>NVDA</x:v>
      </x:c>
      <x:c r="B159" s="53" t="n">
        <x:v>46169.5625</x:v>
      </x:c>
      <x:c r="C159" s="59" t="n">
        <x:v>214.1199951171875</x:v>
      </x:c>
      <x:c r="D159" s="59" t="n">
        <x:v>212.60000610351562</x:v>
      </x:c>
      <x:c r="E159" s="59" t="n">
        <x:v>212.35250854492188</x:v>
      </x:c>
      <x:c r="F159" s="73" t="n">
        <x:v>0.9988358534737142</x:v>
      </x:c>
      <x:c r="G159" s="59" t="n">
        <x:v>213.87072806866348</x:v>
      </x:c>
      <x:c r="H159" s="23" t="str">
        <x:v>raw_open × adjusted_close / raw_close</x:v>
      </x:c>
      <x:c r="I159" s="76" t="str">
        <x:v>https://query1.finance.yahoo.com/v8/finance/chart/NVDA?period1=1779284110&amp;period2=1785815999&amp;interval=1d&amp;events=div%2Csplits&amp;includeAdjustedClose=true</x:v>
      </x:c>
      <x:c r="J159" s="23" t="str">
        <x:v>R0 방법론 검증 전용</x:v>
      </x:c>
    </x:row>
    <x:row r="160">
      <x:c r="A160" s="23" t="str">
        <x:v>NVDA</x:v>
      </x:c>
      <x:c r="B160" s="53" t="n">
        <x:v>46170.5625</x:v>
      </x:c>
      <x:c r="C160" s="59" t="n">
        <x:v>211.27999877929688</x:v>
      </x:c>
      <x:c r="D160" s="59" t="n">
        <x:v>214.25</x:v>
      </x:c>
      <x:c r="E160" s="59" t="n">
        <x:v>214.00057983398438</x:v>
      </x:c>
      <x:c r="F160" s="73" t="n">
        <x:v>0.9988358451994603</x:v>
      </x:c>
      <x:c r="G160" s="59" t="n">
        <x:v>211.03403615445995</x:v>
      </x:c>
      <x:c r="H160" s="23" t="str">
        <x:v>raw_open × adjusted_close / raw_close</x:v>
      </x:c>
      <x:c r="I160" s="76" t="str">
        <x:v>https://query1.finance.yahoo.com/v8/finance/chart/NVDA?period1=1779284110&amp;period2=1785815999&amp;interval=1d&amp;events=div%2Csplits&amp;includeAdjustedClose=true</x:v>
      </x:c>
      <x:c r="J160" s="23" t="str">
        <x:v>R0 방법론 검증 전용</x:v>
      </x:c>
    </x:row>
    <x:row r="161">
      <x:c r="A161" s="23" t="str">
        <x:v>NVDA</x:v>
      </x:c>
      <x:c r="B161" s="53" t="n">
        <x:v>46171.5625</x:v>
      </x:c>
      <x:c r="C161" s="59" t="n">
        <x:v>214.5800018310547</x:v>
      </x:c>
      <x:c r="D161" s="59" t="n">
        <x:v>211.13999938964844</x:v>
      </x:c>
      <x:c r="E161" s="59" t="n">
        <x:v>210.8942108154297</x:v>
      </x:c>
      <x:c r="F161" s="73" t="n">
        <x:v>0.9988358976275018</x:v>
      </x:c>
      <x:c r="G161" s="59" t="n">
        <x:v>214.33020874183248</x:v>
      </x:c>
      <x:c r="H161" s="23" t="str">
        <x:v>raw_open × adjusted_close / raw_close</x:v>
      </x:c>
      <x:c r="I161" s="76" t="str">
        <x:v>https://query1.finance.yahoo.com/v8/finance/chart/NVDA?period1=1779284110&amp;period2=1785815999&amp;interval=1d&amp;events=div%2Csplits&amp;includeAdjustedClose=true</x:v>
      </x:c>
      <x:c r="J161" s="23" t="str">
        <x:v>R0 방법론 검증 전용</x:v>
      </x:c>
    </x:row>
    <x:row r="162">
      <x:c r="A162" s="23" t="str">
        <x:v>NVDA</x:v>
      </x:c>
      <x:c r="B162" s="53" t="n">
        <x:v>46174.5625</x:v>
      </x:c>
      <x:c r="C162" s="59" t="n">
        <x:v>215.72999572753906</x:v>
      </x:c>
      <x:c r="D162" s="59" t="n">
        <x:v>224.36000061035156</x:v>
      </x:c>
      <x:c r="E162" s="59" t="n">
        <x:v>224.09881591796875</x:v>
      </x:c>
      <x:c r="F162" s="73" t="n">
        <x:v>0.9988358678388648</x:v>
      </x:c>
      <x:c r="G162" s="59" t="n">
        <x:v>215.47885750139108</x:v>
      </x:c>
      <x:c r="H162" s="23" t="str">
        <x:v>raw_open × adjusted_close / raw_close</x:v>
      </x:c>
      <x:c r="I162" s="76" t="str">
        <x:v>https://query1.finance.yahoo.com/v8/finance/chart/NVDA?period1=1779284110&amp;period2=1785815999&amp;interval=1d&amp;events=div%2Csplits&amp;includeAdjustedClose=true</x:v>
      </x:c>
      <x:c r="J162" s="23" t="str">
        <x:v>R0 방법론 검증 전용</x:v>
      </x:c>
    </x:row>
    <x:row r="163">
      <x:c r="A163" s="23" t="str">
        <x:v>NVDA</x:v>
      </x:c>
      <x:c r="B163" s="53" t="n">
        <x:v>46175.5625</x:v>
      </x:c>
      <x:c r="C163" s="59" t="n">
        <x:v>227.17999267578125</x:v>
      </x:c>
      <x:c r="D163" s="59" t="n">
        <x:v>222.82000732421875</x:v>
      </x:c>
      <x:c r="E163" s="59" t="n">
        <x:v>222.56060791015625</x:v>
      </x:c>
      <x:c r="F163" s="73" t="n">
        <x:v>0.998835834280873</x:v>
      </x:c>
      <x:c r="G163" s="59" t="n">
        <x:v>226.91551751623658</x:v>
      </x:c>
      <x:c r="H163" s="23" t="str">
        <x:v>raw_open × adjusted_close / raw_close</x:v>
      </x:c>
      <x:c r="I163" s="76" t="str">
        <x:v>https://query1.finance.yahoo.com/v8/finance/chart/NVDA?period1=1779284110&amp;period2=1785815999&amp;interval=1d&amp;events=div%2Csplits&amp;includeAdjustedClose=true</x:v>
      </x:c>
      <x:c r="J163" s="23" t="str">
        <x:v>R0 방법론 검증 전용</x:v>
      </x:c>
    </x:row>
    <x:row r="164">
      <x:c r="A164" s="23" t="str">
        <x:v>NVDA</x:v>
      </x:c>
      <x:c r="B164" s="53" t="n">
        <x:v>46176.5625</x:v>
      </x:c>
      <x:c r="C164" s="59" t="n">
        <x:v>221.72000122070312</x:v>
      </x:c>
      <x:c r="D164" s="59" t="n">
        <x:v>214.75</x:v>
      </x:c>
      <x:c r="E164" s="59" t="n">
        <x:v>214.5</x:v>
      </x:c>
      <x:c r="F164" s="73" t="n">
        <x:v>0.9988358556461001</x:v>
      </x:c>
      <x:c r="G164" s="59" t="n">
        <x:v>221.46188713313538</x:v>
      </x:c>
      <x:c r="H164" s="23" t="str">
        <x:v>raw_open × adjusted_close / raw_close</x:v>
      </x:c>
      <x:c r="I164" s="76" t="str">
        <x:v>https://query1.finance.yahoo.com/v8/finance/chart/NVDA?period1=1779284110&amp;period2=1785815999&amp;interval=1d&amp;events=div%2Csplits&amp;includeAdjustedClose=true</x:v>
      </x:c>
      <x:c r="J164" s="23" t="str">
        <x:v>R0 방법론 검증 전용</x:v>
      </x:c>
    </x:row>
    <x:row r="165">
      <x:c r="A165" s="23" t="str">
        <x:v>NVDA</x:v>
      </x:c>
      <x:c r="B165" s="53" t="n">
        <x:v>46177.5625</x:v>
      </x:c>
      <x:c r="C165" s="59" t="n">
        <x:v>213.91000366210938</x:v>
      </x:c>
      <x:c r="D165" s="59" t="n">
        <x:v>218.66000366210938</x:v>
      </x:c>
      <x:c r="E165" s="59" t="n">
        <x:v>218.66000366210938</x:v>
      </x:c>
      <x:c r="F165" s="73" t="n">
        <x:v>1</x:v>
      </x:c>
      <x:c r="G165" s="59" t="n">
        <x:v>213.91000366210938</x:v>
      </x:c>
      <x:c r="H165" s="23" t="str">
        <x:v>raw_open × adjusted_close / raw_close</x:v>
      </x:c>
      <x:c r="I165" s="76" t="str">
        <x:v>https://query1.finance.yahoo.com/v8/finance/chart/NVDA?period1=1779284110&amp;period2=1785815999&amp;interval=1d&amp;events=div%2Csplits&amp;includeAdjustedClose=true</x:v>
      </x:c>
      <x:c r="J165" s="23" t="str">
        <x:v>R0 방법론 검증 전용</x:v>
      </x:c>
    </x:row>
    <x:row r="166">
      <x:c r="A166" s="23" t="str">
        <x:v>NVDA</x:v>
      </x:c>
      <x:c r="B166" s="53" t="n">
        <x:v>46178.5625</x:v>
      </x:c>
      <x:c r="C166" s="59" t="n">
        <x:v>214.52999877929688</x:v>
      </x:c>
      <x:c r="D166" s="59" t="n">
        <x:v>205.10000610351562</x:v>
      </x:c>
      <x:c r="E166" s="59" t="n">
        <x:v>205.10000610351562</x:v>
      </x:c>
      <x:c r="F166" s="73" t="n">
        <x:v>1</x:v>
      </x:c>
      <x:c r="G166" s="59" t="n">
        <x:v>214.52999877929688</x:v>
      </x:c>
      <x:c r="H166" s="23" t="str">
        <x:v>raw_open × adjusted_close / raw_close</x:v>
      </x:c>
      <x:c r="I166" s="76" t="str">
        <x:v>https://query1.finance.yahoo.com/v8/finance/chart/NVDA?period1=1779284110&amp;period2=1785815999&amp;interval=1d&amp;events=div%2Csplits&amp;includeAdjustedClose=true</x:v>
      </x:c>
      <x:c r="J166" s="23" t="str">
        <x:v>R0 방법론 검증 전용</x:v>
      </x:c>
    </x:row>
    <x:row r="167">
      <x:c r="A167" s="23" t="str">
        <x:v>NVDA</x:v>
      </x:c>
      <x:c r="B167" s="53" t="n">
        <x:v>46181.5625</x:v>
      </x:c>
      <x:c r="C167" s="59" t="n">
        <x:v>210.17999267578125</x:v>
      </x:c>
      <x:c r="D167" s="59" t="n">
        <x:v>208.63999938964844</x:v>
      </x:c>
      <x:c r="E167" s="59" t="n">
        <x:v>208.63999938964844</x:v>
      </x:c>
      <x:c r="F167" s="73" t="n">
        <x:v>1</x:v>
      </x:c>
      <x:c r="G167" s="59" t="n">
        <x:v>210.17999267578125</x:v>
      </x:c>
      <x:c r="H167" s="23" t="str">
        <x:v>raw_open × adjusted_close / raw_close</x:v>
      </x:c>
      <x:c r="I167" s="76" t="str">
        <x:v>https://query1.finance.yahoo.com/v8/finance/chart/NVDA?period1=1779284110&amp;period2=1785815999&amp;interval=1d&amp;events=div%2Csplits&amp;includeAdjustedClose=true</x:v>
      </x:c>
      <x:c r="J167" s="23" t="str">
        <x:v>R0 방법론 검증 전용</x:v>
      </x:c>
    </x:row>
    <x:row r="168">
      <x:c r="A168" s="23" t="str">
        <x:v>NVDA</x:v>
      </x:c>
      <x:c r="B168" s="53" t="n">
        <x:v>46182.5625</x:v>
      </x:c>
      <x:c r="C168" s="59" t="n">
        <x:v>210.6199951171875</x:v>
      </x:c>
      <x:c r="D168" s="59" t="n">
        <x:v>208.19000244140625</x:v>
      </x:c>
      <x:c r="E168" s="59" t="n">
        <x:v>208.19000244140625</x:v>
      </x:c>
      <x:c r="F168" s="73" t="n">
        <x:v>1</x:v>
      </x:c>
      <x:c r="G168" s="59" t="n">
        <x:v>210.6199951171875</x:v>
      </x:c>
      <x:c r="H168" s="23" t="str">
        <x:v>raw_open × adjusted_close / raw_close</x:v>
      </x:c>
      <x:c r="I168" s="76" t="str">
        <x:v>https://query1.finance.yahoo.com/v8/finance/chart/NVDA?period1=1779284110&amp;period2=1785815999&amp;interval=1d&amp;events=div%2Csplits&amp;includeAdjustedClose=true</x:v>
      </x:c>
      <x:c r="J168" s="23" t="str">
        <x:v>R0 방법론 검증 전용</x:v>
      </x:c>
    </x:row>
    <x:row r="169">
      <x:c r="A169" s="23" t="str">
        <x:v>NVDA</x:v>
      </x:c>
      <x:c r="B169" s="53" t="n">
        <x:v>46183.5625</x:v>
      </x:c>
      <x:c r="C169" s="59" t="n">
        <x:v>204.42999267578125</x:v>
      </x:c>
      <x:c r="D169" s="59" t="n">
        <x:v>200.4199981689453</x:v>
      </x:c>
      <x:c r="E169" s="59" t="n">
        <x:v>200.4199981689453</x:v>
      </x:c>
      <x:c r="F169" s="73" t="n">
        <x:v>1</x:v>
      </x:c>
      <x:c r="G169" s="59" t="n">
        <x:v>204.42999267578125</x:v>
      </x:c>
      <x:c r="H169" s="23" t="str">
        <x:v>raw_open × adjusted_close / raw_close</x:v>
      </x:c>
      <x:c r="I169" s="76" t="str">
        <x:v>https://query1.finance.yahoo.com/v8/finance/chart/NVDA?period1=1779284110&amp;period2=1785815999&amp;interval=1d&amp;events=div%2Csplits&amp;includeAdjustedClose=true</x:v>
      </x:c>
      <x:c r="J169" s="23" t="str">
        <x:v>R0 방법론 검증 전용</x:v>
      </x:c>
    </x:row>
    <x:row r="170">
      <x:c r="A170" s="23" t="str">
        <x:v>NVDA</x:v>
      </x:c>
      <x:c r="B170" s="53" t="n">
        <x:v>46184.5625</x:v>
      </x:c>
      <x:c r="C170" s="59" t="n">
        <x:v>201.49000549316406</x:v>
      </x:c>
      <x:c r="D170" s="59" t="n">
        <x:v>204.8699951171875</x:v>
      </x:c>
      <x:c r="E170" s="59" t="n">
        <x:v>204.8699951171875</x:v>
      </x:c>
      <x:c r="F170" s="73" t="n">
        <x:v>1</x:v>
      </x:c>
      <x:c r="G170" s="59" t="n">
        <x:v>201.49000549316406</x:v>
      </x:c>
      <x:c r="H170" s="23" t="str">
        <x:v>raw_open × adjusted_close / raw_close</x:v>
      </x:c>
      <x:c r="I170" s="76" t="str">
        <x:v>https://query1.finance.yahoo.com/v8/finance/chart/NVDA?period1=1779284110&amp;period2=1785815999&amp;interval=1d&amp;events=div%2Csplits&amp;includeAdjustedClose=true</x:v>
      </x:c>
      <x:c r="J170" s="23" t="str">
        <x:v>R0 방법론 검증 전용</x:v>
      </x:c>
    </x:row>
    <x:row r="171">
      <x:c r="A171" s="23" t="str">
        <x:v>NVDA</x:v>
      </x:c>
      <x:c r="B171" s="53" t="n">
        <x:v>46185.5625</x:v>
      </x:c>
      <x:c r="C171" s="59" t="n">
        <x:v>204.86000061035156</x:v>
      </x:c>
      <x:c r="D171" s="59" t="n">
        <x:v>205.19000244140625</x:v>
      </x:c>
      <x:c r="E171" s="59" t="n">
        <x:v>205.19000244140625</x:v>
      </x:c>
      <x:c r="F171" s="73" t="n">
        <x:v>1</x:v>
      </x:c>
      <x:c r="G171" s="59" t="n">
        <x:v>204.86000061035156</x:v>
      </x:c>
      <x:c r="H171" s="23" t="str">
        <x:v>raw_open × adjusted_close / raw_close</x:v>
      </x:c>
      <x:c r="I171" s="76" t="str">
        <x:v>https://query1.finance.yahoo.com/v8/finance/chart/NVDA?period1=1779284110&amp;period2=1785815999&amp;interval=1d&amp;events=div%2Csplits&amp;includeAdjustedClose=true</x:v>
      </x:c>
      <x:c r="J171" s="23" t="str">
        <x:v>R0 방법론 검증 전용</x:v>
      </x:c>
    </x:row>
    <x:row r="172">
      <x:c r="A172" s="23" t="str">
        <x:v>NVDA</x:v>
      </x:c>
      <x:c r="B172" s="53" t="n">
        <x:v>46188.5625</x:v>
      </x:c>
      <x:c r="C172" s="59" t="n">
        <x:v>208.9199981689453</x:v>
      </x:c>
      <x:c r="D172" s="59" t="n">
        <x:v>212.4499969482422</x:v>
      </x:c>
      <x:c r="E172" s="59" t="n">
        <x:v>212.4499969482422</x:v>
      </x:c>
      <x:c r="F172" s="73" t="n">
        <x:v>1</x:v>
      </x:c>
      <x:c r="G172" s="59" t="n">
        <x:v>208.9199981689453</x:v>
      </x:c>
      <x:c r="H172" s="23" t="str">
        <x:v>raw_open × adjusted_close / raw_close</x:v>
      </x:c>
      <x:c r="I172" s="76" t="str">
        <x:v>https://query1.finance.yahoo.com/v8/finance/chart/NVDA?period1=1779284110&amp;period2=1785815999&amp;interval=1d&amp;events=div%2Csplits&amp;includeAdjustedClose=true</x:v>
      </x:c>
      <x:c r="J172" s="23" t="str">
        <x:v>R0 방법론 검증 전용</x:v>
      </x:c>
    </x:row>
    <x:row r="173">
      <x:c r="A173" s="23" t="str">
        <x:v>NVDA</x:v>
      </x:c>
      <x:c r="B173" s="53" t="n">
        <x:v>46189.5625</x:v>
      </x:c>
      <x:c r="C173" s="59" t="n">
        <x:v>211.17999267578125</x:v>
      </x:c>
      <x:c r="D173" s="59" t="n">
        <x:v>207.41000366210938</x:v>
      </x:c>
      <x:c r="E173" s="59" t="n">
        <x:v>207.41000366210938</x:v>
      </x:c>
      <x:c r="F173" s="73" t="n">
        <x:v>1</x:v>
      </x:c>
      <x:c r="G173" s="59" t="n">
        <x:v>211.17999267578125</x:v>
      </x:c>
      <x:c r="H173" s="23" t="str">
        <x:v>raw_open × adjusted_close / raw_close</x:v>
      </x:c>
      <x:c r="I173" s="76" t="str">
        <x:v>https://query1.finance.yahoo.com/v8/finance/chart/NVDA?period1=1779284110&amp;period2=1785815999&amp;interval=1d&amp;events=div%2Csplits&amp;includeAdjustedClose=true</x:v>
      </x:c>
      <x:c r="J173" s="23" t="str">
        <x:v>R0 방법론 검증 전용</x:v>
      </x:c>
    </x:row>
    <x:row r="174">
      <x:c r="A174" s="23" t="str">
        <x:v>NVDA</x:v>
      </x:c>
      <x:c r="B174" s="53" t="n">
        <x:v>46190.5625</x:v>
      </x:c>
      <x:c r="C174" s="59" t="n">
        <x:v>208.52999877929688</x:v>
      </x:c>
      <x:c r="D174" s="59" t="n">
        <x:v>204.64999389648438</x:v>
      </x:c>
      <x:c r="E174" s="59" t="n">
        <x:v>204.64999389648438</x:v>
      </x:c>
      <x:c r="F174" s="73" t="n">
        <x:v>1</x:v>
      </x:c>
      <x:c r="G174" s="59" t="n">
        <x:v>208.52999877929688</x:v>
      </x:c>
      <x:c r="H174" s="23" t="str">
        <x:v>raw_open × adjusted_close / raw_close</x:v>
      </x:c>
      <x:c r="I174" s="76" t="str">
        <x:v>https://query1.finance.yahoo.com/v8/finance/chart/NVDA?period1=1779284110&amp;period2=1785815999&amp;interval=1d&amp;events=div%2Csplits&amp;includeAdjustedClose=true</x:v>
      </x:c>
      <x:c r="J174" s="23" t="str">
        <x:v>R0 방법론 검증 전용</x:v>
      </x:c>
    </x:row>
    <x:row r="175">
      <x:c r="A175" s="23" t="str">
        <x:v>NVDA</x:v>
      </x:c>
      <x:c r="B175" s="53" t="n">
        <x:v>46191.5625</x:v>
      </x:c>
      <x:c r="C175" s="59" t="n">
        <x:v>207.3300018310547</x:v>
      </x:c>
      <x:c r="D175" s="59" t="n">
        <x:v>210.69000244140625</x:v>
      </x:c>
      <x:c r="E175" s="59" t="n">
        <x:v>210.69000244140625</x:v>
      </x:c>
      <x:c r="F175" s="73" t="n">
        <x:v>1</x:v>
      </x:c>
      <x:c r="G175" s="59" t="n">
        <x:v>207.3300018310547</x:v>
      </x:c>
      <x:c r="H175" s="23" t="str">
        <x:v>raw_open × adjusted_close / raw_close</x:v>
      </x:c>
      <x:c r="I175" s="76" t="str">
        <x:v>https://query1.finance.yahoo.com/v8/finance/chart/NVDA?period1=1779284110&amp;period2=1785815999&amp;interval=1d&amp;events=div%2Csplits&amp;includeAdjustedClose=true</x:v>
      </x:c>
      <x:c r="J175" s="23" t="str">
        <x:v>R0 방법론 검증 전용</x:v>
      </x:c>
    </x:row>
    <x:row r="176">
      <x:c r="A176" s="23" t="str">
        <x:v>NVDA</x:v>
      </x:c>
      <x:c r="B176" s="53" t="n">
        <x:v>46195.5625</x:v>
      </x:c>
      <x:c r="C176" s="59" t="n">
        <x:v>211.44000244140625</x:v>
      </x:c>
      <x:c r="D176" s="59" t="n">
        <x:v>208.64999389648438</x:v>
      </x:c>
      <x:c r="E176" s="59" t="n">
        <x:v>208.64999389648438</x:v>
      </x:c>
      <x:c r="F176" s="73" t="n">
        <x:v>1</x:v>
      </x:c>
      <x:c r="G176" s="59" t="n">
        <x:v>211.44000244140625</x:v>
      </x:c>
      <x:c r="H176" s="23" t="str">
        <x:v>raw_open × adjusted_close / raw_close</x:v>
      </x:c>
      <x:c r="I176" s="76" t="str">
        <x:v>https://query1.finance.yahoo.com/v8/finance/chart/NVDA?period1=1779284110&amp;period2=1785815999&amp;interval=1d&amp;events=div%2Csplits&amp;includeAdjustedClose=true</x:v>
      </x:c>
      <x:c r="J176" s="23" t="str">
        <x:v>R0 방법론 검증 전용</x:v>
      </x:c>
    </x:row>
    <x:row r="177">
      <x:c r="A177" s="23" t="str">
        <x:v>NVDA</x:v>
      </x:c>
      <x:c r="B177" s="53" t="n">
        <x:v>46196.5625</x:v>
      </x:c>
      <x:c r="C177" s="59" t="n">
        <x:v>202.1699981689453</x:v>
      </x:c>
      <x:c r="D177" s="59" t="n">
        <x:v>200.0399932861328</x:v>
      </x:c>
      <x:c r="E177" s="59" t="n">
        <x:v>200.0399932861328</x:v>
      </x:c>
      <x:c r="F177" s="73" t="n">
        <x:v>1</x:v>
      </x:c>
      <x:c r="G177" s="59" t="n">
        <x:v>202.1699981689453</x:v>
      </x:c>
      <x:c r="H177" s="23" t="str">
        <x:v>raw_open × adjusted_close / raw_close</x:v>
      </x:c>
      <x:c r="I177" s="76" t="str">
        <x:v>https://query1.finance.yahoo.com/v8/finance/chart/NVDA?period1=1779284110&amp;period2=1785815999&amp;interval=1d&amp;events=div%2Csplits&amp;includeAdjustedClose=true</x:v>
      </x:c>
      <x:c r="J177" s="23" t="str">
        <x:v>R0 방법론 검증 전용</x:v>
      </x:c>
    </x:row>
    <x:row r="178">
      <x:c r="A178" s="23" t="str">
        <x:v>NVDA</x:v>
      </x:c>
      <x:c r="B178" s="53" t="n">
        <x:v>46197.5625</x:v>
      </x:c>
      <x:c r="C178" s="59" t="n">
        <x:v>200.1199951171875</x:v>
      </x:c>
      <x:c r="D178" s="59" t="n">
        <x:v>199</x:v>
      </x:c>
      <x:c r="E178" s="59" t="n">
        <x:v>199</x:v>
      </x:c>
      <x:c r="F178" s="73" t="n">
        <x:v>1</x:v>
      </x:c>
      <x:c r="G178" s="59" t="n">
        <x:v>200.1199951171875</x:v>
      </x:c>
      <x:c r="H178" s="23" t="str">
        <x:v>raw_open × adjusted_close / raw_close</x:v>
      </x:c>
      <x:c r="I178" s="76" t="str">
        <x:v>https://query1.finance.yahoo.com/v8/finance/chart/NVDA?period1=1779284110&amp;period2=1785815999&amp;interval=1d&amp;events=div%2Csplits&amp;includeAdjustedClose=true</x:v>
      </x:c>
      <x:c r="J178" s="23" t="str">
        <x:v>R0 방법론 검증 전용</x:v>
      </x:c>
    </x:row>
    <x:row r="179">
      <x:c r="A179" s="23" t="str">
        <x:v>NVDA</x:v>
      </x:c>
      <x:c r="B179" s="53" t="n">
        <x:v>46198.5625</x:v>
      </x:c>
      <x:c r="C179" s="59" t="n">
        <x:v>200.0800018310547</x:v>
      </x:c>
      <x:c r="D179" s="59" t="n">
        <x:v>195.74000549316406</x:v>
      </x:c>
      <x:c r="E179" s="59" t="n">
        <x:v>195.74000549316406</x:v>
      </x:c>
      <x:c r="F179" s="73" t="n">
        <x:v>1</x:v>
      </x:c>
      <x:c r="G179" s="59" t="n">
        <x:v>200.0800018310547</x:v>
      </x:c>
      <x:c r="H179" s="23" t="str">
        <x:v>raw_open × adjusted_close / raw_close</x:v>
      </x:c>
      <x:c r="I179" s="76" t="str">
        <x:v>https://query1.finance.yahoo.com/v8/finance/chart/NVDA?period1=1779284110&amp;period2=1785815999&amp;interval=1d&amp;events=div%2Csplits&amp;includeAdjustedClose=true</x:v>
      </x:c>
      <x:c r="J179" s="23" t="str">
        <x:v>R0 방법론 검증 전용</x:v>
      </x:c>
    </x:row>
    <x:row r="180">
      <x:c r="A180" s="23" t="str">
        <x:v>NVDA</x:v>
      </x:c>
      <x:c r="B180" s="53" t="n">
        <x:v>46199.5625</x:v>
      </x:c>
      <x:c r="C180" s="59" t="n">
        <x:v>193.1199951171875</x:v>
      </x:c>
      <x:c r="D180" s="59" t="n">
        <x:v>192.52999877929688</x:v>
      </x:c>
      <x:c r="E180" s="59" t="n">
        <x:v>192.52999877929688</x:v>
      </x:c>
      <x:c r="F180" s="73" t="n">
        <x:v>1</x:v>
      </x:c>
      <x:c r="G180" s="59" t="n">
        <x:v>193.1199951171875</x:v>
      </x:c>
      <x:c r="H180" s="23" t="str">
        <x:v>raw_open × adjusted_close / raw_close</x:v>
      </x:c>
      <x:c r="I180" s="76" t="str">
        <x:v>https://query1.finance.yahoo.com/v8/finance/chart/NVDA?period1=1779284110&amp;period2=1785815999&amp;interval=1d&amp;events=div%2Csplits&amp;includeAdjustedClose=true</x:v>
      </x:c>
      <x:c r="J180" s="23" t="str">
        <x:v>R0 방법론 검증 전용</x:v>
      </x:c>
    </x:row>
    <x:row r="181">
      <x:c r="A181" s="23" t="str">
        <x:v>NVDA</x:v>
      </x:c>
      <x:c r="B181" s="53" t="n">
        <x:v>46202.5625</x:v>
      </x:c>
      <x:c r="C181" s="59" t="n">
        <x:v>193.85000610351562</x:v>
      </x:c>
      <x:c r="D181" s="59" t="n">
        <x:v>194.97000122070312</x:v>
      </x:c>
      <x:c r="E181" s="59" t="n">
        <x:v>194.97000122070312</x:v>
      </x:c>
      <x:c r="F181" s="73" t="n">
        <x:v>1</x:v>
      </x:c>
      <x:c r="G181" s="59" t="n">
        <x:v>193.85000610351562</x:v>
      </x:c>
      <x:c r="H181" s="23" t="str">
        <x:v>raw_open × adjusted_close / raw_close</x:v>
      </x:c>
      <x:c r="I181" s="76" t="str">
        <x:v>https://query1.finance.yahoo.com/v8/finance/chart/NVDA?period1=1779284110&amp;period2=1785815999&amp;interval=1d&amp;events=div%2Csplits&amp;includeAdjustedClose=true</x:v>
      </x:c>
      <x:c r="J181" s="23" t="str">
        <x:v>R0 방법론 검증 전용</x:v>
      </x:c>
    </x:row>
    <x:row r="182">
      <x:c r="A182" s="23" t="str">
        <x:v>NVDA</x:v>
      </x:c>
      <x:c r="B182" s="53" t="n">
        <x:v>46203.5625</x:v>
      </x:c>
      <x:c r="C182" s="59" t="n">
        <x:v>197.24000549316406</x:v>
      </x:c>
      <x:c r="D182" s="59" t="n">
        <x:v>200.08999633789062</x:v>
      </x:c>
      <x:c r="E182" s="59" t="n">
        <x:v>200.08999633789062</x:v>
      </x:c>
      <x:c r="F182" s="73" t="n">
        <x:v>1</x:v>
      </x:c>
      <x:c r="G182" s="59" t="n">
        <x:v>197.24000549316406</x:v>
      </x:c>
      <x:c r="H182" s="23" t="str">
        <x:v>raw_open × adjusted_close / raw_close</x:v>
      </x:c>
      <x:c r="I182" s="76" t="str">
        <x:v>https://query1.finance.yahoo.com/v8/finance/chart/NVDA?period1=1779284110&amp;period2=1785815999&amp;interval=1d&amp;events=div%2Csplits&amp;includeAdjustedClose=true</x:v>
      </x:c>
      <x:c r="J182" s="23" t="str">
        <x:v>R0 방법론 검증 전용</x:v>
      </x:c>
    </x:row>
    <x:row r="183">
      <x:c r="A183" s="23" t="str">
        <x:v>NVDA</x:v>
      </x:c>
      <x:c r="B183" s="53" t="n">
        <x:v>46204.5625</x:v>
      </x:c>
      <x:c r="C183" s="59" t="n">
        <x:v>196.1999969482422</x:v>
      </x:c>
      <x:c r="D183" s="59" t="n">
        <x:v>197.5800018310547</x:v>
      </x:c>
      <x:c r="E183" s="59" t="n">
        <x:v>197.5800018310547</x:v>
      </x:c>
      <x:c r="F183" s="73" t="n">
        <x:v>1</x:v>
      </x:c>
      <x:c r="G183" s="59" t="n">
        <x:v>196.1999969482422</x:v>
      </x:c>
      <x:c r="H183" s="23" t="str">
        <x:v>raw_open × adjusted_close / raw_close</x:v>
      </x:c>
      <x:c r="I183" s="76" t="str">
        <x:v>https://query1.finance.yahoo.com/v8/finance/chart/NVDA?period1=1779284110&amp;period2=1785815999&amp;interval=1d&amp;events=div%2Csplits&amp;includeAdjustedClose=true</x:v>
      </x:c>
      <x:c r="J183" s="23" t="str">
        <x:v>R0 방법론 검증 전용</x:v>
      </x:c>
    </x:row>
    <x:row r="184">
      <x:c r="A184" s="23" t="str">
        <x:v>NVDA</x:v>
      </x:c>
      <x:c r="B184" s="53" t="n">
        <x:v>46205.5625</x:v>
      </x:c>
      <x:c r="C184" s="59" t="n">
        <x:v>197.13999938964844</x:v>
      </x:c>
      <x:c r="D184" s="59" t="n">
        <x:v>194.8300018310547</x:v>
      </x:c>
      <x:c r="E184" s="59" t="n">
        <x:v>194.8300018310547</x:v>
      </x:c>
      <x:c r="F184" s="73" t="n">
        <x:v>1</x:v>
      </x:c>
      <x:c r="G184" s="59" t="n">
        <x:v>197.13999938964844</x:v>
      </x:c>
      <x:c r="H184" s="23" t="str">
        <x:v>raw_open × adjusted_close / raw_close</x:v>
      </x:c>
      <x:c r="I184" s="76" t="str">
        <x:v>https://query1.finance.yahoo.com/v8/finance/chart/NVDA?period1=1779284110&amp;period2=1785815999&amp;interval=1d&amp;events=div%2Csplits&amp;includeAdjustedClose=true</x:v>
      </x:c>
      <x:c r="J184" s="23" t="str">
        <x:v>R0 방법론 검증 전용</x:v>
      </x:c>
    </x:row>
    <x:row r="185">
      <x:c r="A185" s="23" t="str">
        <x:v>NVDA</x:v>
      </x:c>
      <x:c r="B185" s="53" t="n">
        <x:v>46209.5625</x:v>
      </x:c>
      <x:c r="C185" s="59" t="n">
        <x:v>194.4199981689453</x:v>
      </x:c>
      <x:c r="D185" s="59" t="n">
        <x:v>195.5500030517578</x:v>
      </x:c>
      <x:c r="E185" s="59" t="n">
        <x:v>195.5500030517578</x:v>
      </x:c>
      <x:c r="F185" s="73" t="n">
        <x:v>1</x:v>
      </x:c>
      <x:c r="G185" s="59" t="n">
        <x:v>194.4199981689453</x:v>
      </x:c>
      <x:c r="H185" s="23" t="str">
        <x:v>raw_open × adjusted_close / raw_close</x:v>
      </x:c>
      <x:c r="I185" s="76" t="str">
        <x:v>https://query1.finance.yahoo.com/v8/finance/chart/NVDA?period1=1779284110&amp;period2=1785815999&amp;interval=1d&amp;events=div%2Csplits&amp;includeAdjustedClose=true</x:v>
      </x:c>
      <x:c r="J185" s="23" t="str">
        <x:v>R0 방법론 검증 전용</x:v>
      </x:c>
    </x:row>
    <x:row r="186">
      <x:c r="A186" s="23" t="str">
        <x:v>NVDA</x:v>
      </x:c>
      <x:c r="B186" s="53" t="n">
        <x:v>46210.5625</x:v>
      </x:c>
      <x:c r="C186" s="59" t="n">
        <x:v>192.3699951171875</x:v>
      </x:c>
      <x:c r="D186" s="59" t="n">
        <x:v>196.92999267578125</x:v>
      </x:c>
      <x:c r="E186" s="59" t="n">
        <x:v>196.92999267578125</x:v>
      </x:c>
      <x:c r="F186" s="73" t="n">
        <x:v>1</x:v>
      </x:c>
      <x:c r="G186" s="59" t="n">
        <x:v>192.3699951171875</x:v>
      </x:c>
      <x:c r="H186" s="23" t="str">
        <x:v>raw_open × adjusted_close / raw_close</x:v>
      </x:c>
      <x:c r="I186" s="76" t="str">
        <x:v>https://query1.finance.yahoo.com/v8/finance/chart/NVDA?period1=1779284110&amp;period2=1785815999&amp;interval=1d&amp;events=div%2Csplits&amp;includeAdjustedClose=true</x:v>
      </x:c>
      <x:c r="J186" s="23" t="str">
        <x:v>R0 방법론 검증 전용</x:v>
      </x:c>
    </x:row>
    <x:row r="187">
      <x:c r="A187" s="23" t="str">
        <x:v>NVDA</x:v>
      </x:c>
      <x:c r="B187" s="53" t="n">
        <x:v>46211.5625</x:v>
      </x:c>
      <x:c r="C187" s="59" t="n">
        <x:v>195.17999267578125</x:v>
      </x:c>
      <x:c r="D187" s="59" t="n">
        <x:v>204.1199951171875</x:v>
      </x:c>
      <x:c r="E187" s="59" t="n">
        <x:v>204.1199951171875</x:v>
      </x:c>
      <x:c r="F187" s="73" t="n">
        <x:v>1</x:v>
      </x:c>
      <x:c r="G187" s="59" t="n">
        <x:v>195.17999267578125</x:v>
      </x:c>
      <x:c r="H187" s="23" t="str">
        <x:v>raw_open × adjusted_close / raw_close</x:v>
      </x:c>
      <x:c r="I187" s="76" t="str">
        <x:v>https://query1.finance.yahoo.com/v8/finance/chart/NVDA?period1=1779284110&amp;period2=1785815999&amp;interval=1d&amp;events=div%2Csplits&amp;includeAdjustedClose=true</x:v>
      </x:c>
      <x:c r="J187" s="23" t="str">
        <x:v>R0 방법론 검증 전용</x:v>
      </x:c>
    </x:row>
    <x:row r="188">
      <x:c r="A188" s="23" t="str">
        <x:v>NVDA</x:v>
      </x:c>
      <x:c r="B188" s="53" t="n">
        <x:v>46212.5625</x:v>
      </x:c>
      <x:c r="C188" s="59" t="n">
        <x:v>204.4600067138672</x:v>
      </x:c>
      <x:c r="D188" s="59" t="n">
        <x:v>202.77999877929688</x:v>
      </x:c>
      <x:c r="E188" s="59" t="n">
        <x:v>202.77999877929688</x:v>
      </x:c>
      <x:c r="F188" s="73" t="n">
        <x:v>1</x:v>
      </x:c>
      <x:c r="G188" s="59" t="n">
        <x:v>204.4600067138672</x:v>
      </x:c>
      <x:c r="H188" s="23" t="str">
        <x:v>raw_open × adjusted_close / raw_close</x:v>
      </x:c>
      <x:c r="I188" s="76" t="str">
        <x:v>https://query1.finance.yahoo.com/v8/finance/chart/NVDA?period1=1779284110&amp;period2=1785815999&amp;interval=1d&amp;events=div%2Csplits&amp;includeAdjustedClose=true</x:v>
      </x:c>
      <x:c r="J188" s="23" t="str">
        <x:v>R0 방법론 검증 전용</x:v>
      </x:c>
    </x:row>
    <x:row r="189">
      <x:c r="A189" s="23" t="str">
        <x:v>NVDA</x:v>
      </x:c>
      <x:c r="B189" s="53" t="n">
        <x:v>46213.5625</x:v>
      </x:c>
      <x:c r="C189" s="59" t="n">
        <x:v>202</x:v>
      </x:c>
      <x:c r="D189" s="59" t="n">
        <x:v>210.9600067138672</x:v>
      </x:c>
      <x:c r="E189" s="59" t="n">
        <x:v>210.9600067138672</x:v>
      </x:c>
      <x:c r="F189" s="73" t="n">
        <x:v>1</x:v>
      </x:c>
      <x:c r="G189" s="59" t="n">
        <x:v>202</x:v>
      </x:c>
      <x:c r="H189" s="23" t="str">
        <x:v>raw_open × adjusted_close / raw_close</x:v>
      </x:c>
      <x:c r="I189" s="76" t="str">
        <x:v>https://query1.finance.yahoo.com/v8/finance/chart/NVDA?period1=1779284110&amp;period2=1785815999&amp;interval=1d&amp;events=div%2Csplits&amp;includeAdjustedClose=true</x:v>
      </x:c>
      <x:c r="J189" s="23" t="str">
        <x:v>R0 방법론 검증 전용</x:v>
      </x:c>
    </x:row>
    <x:row r="190">
      <x:c r="A190" s="23" t="str">
        <x:v>NVDA</x:v>
      </x:c>
      <x:c r="B190" s="53" t="n">
        <x:v>46216.5625</x:v>
      </x:c>
      <x:c r="C190" s="59" t="n">
        <x:v>208.5399932861328</x:v>
      </x:c>
      <x:c r="D190" s="59" t="n">
        <x:v>203.52999877929688</x:v>
      </x:c>
      <x:c r="E190" s="59" t="n">
        <x:v>203.52999877929688</x:v>
      </x:c>
      <x:c r="F190" s="73" t="n">
        <x:v>1</x:v>
      </x:c>
      <x:c r="G190" s="59" t="n">
        <x:v>208.5399932861328</x:v>
      </x:c>
      <x:c r="H190" s="23" t="str">
        <x:v>raw_open × adjusted_close / raw_close</x:v>
      </x:c>
      <x:c r="I190" s="76" t="str">
        <x:v>https://query1.finance.yahoo.com/v8/finance/chart/NVDA?period1=1779284110&amp;period2=1785815999&amp;interval=1d&amp;events=div%2Csplits&amp;includeAdjustedClose=true</x:v>
      </x:c>
      <x:c r="J190" s="23" t="str">
        <x:v>R0 방법론 검증 전용</x:v>
      </x:c>
    </x:row>
    <x:row r="191">
      <x:c r="A191" s="23" t="str">
        <x:v>NVDA</x:v>
      </x:c>
      <x:c r="B191" s="53" t="n">
        <x:v>46217.5625</x:v>
      </x:c>
      <x:c r="C191" s="59" t="n">
        <x:v>208.1999969482422</x:v>
      </x:c>
      <x:c r="D191" s="59" t="n">
        <x:v>211.8000030517578</x:v>
      </x:c>
      <x:c r="E191" s="59" t="n">
        <x:v>211.8000030517578</x:v>
      </x:c>
      <x:c r="F191" s="73" t="n">
        <x:v>1</x:v>
      </x:c>
      <x:c r="G191" s="59" t="n">
        <x:v>208.1999969482422</x:v>
      </x:c>
      <x:c r="H191" s="23" t="str">
        <x:v>raw_open × adjusted_close / raw_close</x:v>
      </x:c>
      <x:c r="I191" s="76" t="str">
        <x:v>https://query1.finance.yahoo.com/v8/finance/chart/NVDA?period1=1779284110&amp;period2=1785815999&amp;interval=1d&amp;events=div%2Csplits&amp;includeAdjustedClose=true</x:v>
      </x:c>
      <x:c r="J191" s="23" t="str">
        <x:v>R0 방법론 검증 전용</x:v>
      </x:c>
    </x:row>
    <x:row r="192">
      <x:c r="A192" s="23" t="str">
        <x:v>NVDA</x:v>
      </x:c>
      <x:c r="B192" s="53" t="n">
        <x:v>46218.5625</x:v>
      </x:c>
      <x:c r="C192" s="59" t="n">
        <x:v>211.9600067138672</x:v>
      </x:c>
      <x:c r="D192" s="59" t="n">
        <x:v>212.5</x:v>
      </x:c>
      <x:c r="E192" s="59" t="n">
        <x:v>212.5</x:v>
      </x:c>
      <x:c r="F192" s="73" t="n">
        <x:v>1</x:v>
      </x:c>
      <x:c r="G192" s="59" t="n">
        <x:v>211.9600067138672</x:v>
      </x:c>
      <x:c r="H192" s="23" t="str">
        <x:v>raw_open × adjusted_close / raw_close</x:v>
      </x:c>
      <x:c r="I192" s="76" t="str">
        <x:v>https://query1.finance.yahoo.com/v8/finance/chart/NVDA?period1=1779284110&amp;period2=1785815999&amp;interval=1d&amp;events=div%2Csplits&amp;includeAdjustedClose=true</x:v>
      </x:c>
      <x:c r="J192" s="23" t="str">
        <x:v>R0 방법론 검증 전용</x:v>
      </x:c>
    </x:row>
    <x:row r="193">
      <x:c r="A193" s="23" t="str">
        <x:v>NVDA</x:v>
      </x:c>
      <x:c r="B193" s="53" t="n">
        <x:v>46219.5625</x:v>
      </x:c>
      <x:c r="C193" s="59" t="n">
        <x:v>210.1699981689453</x:v>
      </x:c>
      <x:c r="D193" s="59" t="n">
        <x:v>207.39999389648438</x:v>
      </x:c>
      <x:c r="E193" s="59" t="n">
        <x:v>207.39999389648438</x:v>
      </x:c>
      <x:c r="F193" s="73" t="n">
        <x:v>1</x:v>
      </x:c>
      <x:c r="G193" s="59" t="n">
        <x:v>210.1699981689453</x:v>
      </x:c>
      <x:c r="H193" s="23" t="str">
        <x:v>raw_open × adjusted_close / raw_close</x:v>
      </x:c>
      <x:c r="I193" s="76" t="str">
        <x:v>https://query1.finance.yahoo.com/v8/finance/chart/NVDA?period1=1779284110&amp;period2=1785815999&amp;interval=1d&amp;events=div%2Csplits&amp;includeAdjustedClose=true</x:v>
      </x:c>
      <x:c r="J193" s="23" t="str">
        <x:v>R0 방법론 검증 전용</x:v>
      </x:c>
    </x:row>
    <x:row r="194">
      <x:c r="A194" s="23" t="str">
        <x:v>NVDA</x:v>
      </x:c>
      <x:c r="B194" s="53" t="n">
        <x:v>46220.5625</x:v>
      </x:c>
      <x:c r="C194" s="59" t="n">
        <x:v>202.63999938964844</x:v>
      </x:c>
      <x:c r="D194" s="59" t="n">
        <x:v>202.80999755859375</x:v>
      </x:c>
      <x:c r="E194" s="59" t="n">
        <x:v>202.80999755859375</x:v>
      </x:c>
      <x:c r="F194" s="73" t="n">
        <x:v>1</x:v>
      </x:c>
      <x:c r="G194" s="59" t="n">
        <x:v>202.63999938964844</x:v>
      </x:c>
      <x:c r="H194" s="23" t="str">
        <x:v>raw_open × adjusted_close / raw_close</x:v>
      </x:c>
      <x:c r="I194" s="76" t="str">
        <x:v>https://query1.finance.yahoo.com/v8/finance/chart/NVDA?period1=1779284110&amp;period2=1785815999&amp;interval=1d&amp;events=div%2Csplits&amp;includeAdjustedClose=true</x:v>
      </x:c>
      <x:c r="J194" s="23" t="str">
        <x:v>R0 방법론 검증 전용</x:v>
      </x:c>
    </x:row>
    <x:row r="195">
      <x:c r="A195" s="23" t="str">
        <x:v>NVDA</x:v>
      </x:c>
      <x:c r="B195" s="53" t="n">
        <x:v>46223.5625</x:v>
      </x:c>
      <x:c r="C195" s="59" t="n">
        <x:v>205.8699951171875</x:v>
      </x:c>
      <x:c r="D195" s="59" t="n">
        <x:v>203.27999877929688</x:v>
      </x:c>
      <x:c r="E195" s="59" t="n">
        <x:v>203.27999877929688</x:v>
      </x:c>
      <x:c r="F195" s="73" t="n">
        <x:v>1</x:v>
      </x:c>
      <x:c r="G195" s="59" t="n">
        <x:v>205.8699951171875</x:v>
      </x:c>
      <x:c r="H195" s="23" t="str">
        <x:v>raw_open × adjusted_close / raw_close</x:v>
      </x:c>
      <x:c r="I195" s="76" t="str">
        <x:v>https://query1.finance.yahoo.com/v8/finance/chart/NVDA?period1=1779284110&amp;period2=1785815999&amp;interval=1d&amp;events=div%2Csplits&amp;includeAdjustedClose=true</x:v>
      </x:c>
      <x:c r="J195" s="23" t="str">
        <x:v>R0 방법론 검증 전용</x:v>
      </x:c>
    </x:row>
    <x:row r="196">
      <x:c r="A196" s="23" t="str">
        <x:v>NVDA</x:v>
      </x:c>
      <x:c r="B196" s="53" t="n">
        <x:v>46224.5625</x:v>
      </x:c>
      <x:c r="C196" s="59" t="n">
        <x:v>207.5399932861328</x:v>
      </x:c>
      <x:c r="D196" s="59" t="n">
        <x:v>207.2899932861328</x:v>
      </x:c>
      <x:c r="E196" s="59" t="n">
        <x:v>207.2899932861328</x:v>
      </x:c>
      <x:c r="F196" s="73" t="n">
        <x:v>1</x:v>
      </x:c>
      <x:c r="G196" s="59" t="n">
        <x:v>207.5399932861328</x:v>
      </x:c>
      <x:c r="H196" s="23" t="str">
        <x:v>raw_open × adjusted_close / raw_close</x:v>
      </x:c>
      <x:c r="I196" s="76" t="str">
        <x:v>https://query1.finance.yahoo.com/v8/finance/chart/NVDA?period1=1779284110&amp;period2=1785815999&amp;interval=1d&amp;events=div%2Csplits&amp;includeAdjustedClose=true</x:v>
      </x:c>
      <x:c r="J196" s="23" t="str">
        <x:v>R0 방법론 검증 전용</x:v>
      </x:c>
    </x:row>
    <x:row r="197">
      <x:c r="A197" s="23" t="str">
        <x:v>NVDA</x:v>
      </x:c>
      <x:c r="B197" s="53" t="n">
        <x:v>46225.5625</x:v>
      </x:c>
      <x:c r="C197" s="59" t="n">
        <x:v>205.80999755859375</x:v>
      </x:c>
      <x:c r="D197" s="59" t="n">
        <x:v>212.05999755859375</x:v>
      </x:c>
      <x:c r="E197" s="59" t="n">
        <x:v>212.05999755859375</x:v>
      </x:c>
      <x:c r="F197" s="73" t="n">
        <x:v>1</x:v>
      </x:c>
      <x:c r="G197" s="59" t="n">
        <x:v>205.80999755859375</x:v>
      </x:c>
      <x:c r="H197" s="23" t="str">
        <x:v>raw_open × adjusted_close / raw_close</x:v>
      </x:c>
      <x:c r="I197" s="76" t="str">
        <x:v>https://query1.finance.yahoo.com/v8/finance/chart/NVDA?period1=1779284110&amp;period2=1785815999&amp;interval=1d&amp;events=div%2Csplits&amp;includeAdjustedClose=true</x:v>
      </x:c>
      <x:c r="J197" s="23" t="str">
        <x:v>R0 방법론 검증 전용</x:v>
      </x:c>
    </x:row>
    <x:row r="198">
      <x:c r="A198" s="23" t="str">
        <x:v>NVDA</x:v>
      </x:c>
      <x:c r="B198" s="53" t="n">
        <x:v>46226.5625</x:v>
      </x:c>
      <x:c r="C198" s="59" t="n">
        <x:v>209.4600067138672</x:v>
      </x:c>
      <x:c r="D198" s="59" t="n">
        <x:v>208.75999450683594</x:v>
      </x:c>
      <x:c r="E198" s="59" t="n">
        <x:v>208.75999450683594</x:v>
      </x:c>
      <x:c r="F198" s="73" t="n">
        <x:v>1</x:v>
      </x:c>
      <x:c r="G198" s="59" t="n">
        <x:v>209.4600067138672</x:v>
      </x:c>
      <x:c r="H198" s="23" t="str">
        <x:v>raw_open × adjusted_close / raw_close</x:v>
      </x:c>
      <x:c r="I198" s="76" t="str">
        <x:v>https://query1.finance.yahoo.com/v8/finance/chart/NVDA?period1=1779284110&amp;period2=1785815999&amp;interval=1d&amp;events=div%2Csplits&amp;includeAdjustedClose=true</x:v>
      </x:c>
      <x:c r="J198" s="23" t="str">
        <x:v>R0 방법론 검증 전용</x:v>
      </x:c>
    </x:row>
    <x:row r="199">
      <x:c r="A199" s="23" t="str">
        <x:v>NVDA</x:v>
      </x:c>
      <x:c r="B199" s="53" t="n">
        <x:v>46227.5625</x:v>
      </x:c>
      <x:c r="C199" s="59" t="n">
        <x:v>207.4499969482422</x:v>
      </x:c>
      <x:c r="D199" s="59" t="n">
        <x:v>206.83999633789062</x:v>
      </x:c>
      <x:c r="E199" s="59" t="n">
        <x:v>206.83999633789062</x:v>
      </x:c>
      <x:c r="F199" s="73" t="n">
        <x:v>1</x:v>
      </x:c>
      <x:c r="G199" s="59" t="n">
        <x:v>207.4499969482422</x:v>
      </x:c>
      <x:c r="H199" s="23" t="str">
        <x:v>raw_open × adjusted_close / raw_close</x:v>
      </x:c>
      <x:c r="I199" s="76" t="str">
        <x:v>https://query1.finance.yahoo.com/v8/finance/chart/NVDA?period1=1779284110&amp;period2=1785815999&amp;interval=1d&amp;events=div%2Csplits&amp;includeAdjustedClose=true</x:v>
      </x:c>
      <x:c r="J199" s="23" t="str">
        <x:v>R0 방법론 검증 전용</x:v>
      </x:c>
    </x:row>
    <x:row r="200">
      <x:c r="A200" s="23" t="str">
        <x:v>NVDA</x:v>
      </x:c>
      <x:c r="B200" s="53" t="n">
        <x:v>46230.5625</x:v>
      </x:c>
      <x:c r="C200" s="59" t="n">
        <x:v>208.1999969482422</x:v>
      </x:c>
      <x:c r="D200" s="59" t="n">
        <x:v>196.50999450683594</x:v>
      </x:c>
      <x:c r="E200" s="59" t="n">
        <x:v>196.50999450683594</x:v>
      </x:c>
      <x:c r="F200" s="73" t="n">
        <x:v>1</x:v>
      </x:c>
      <x:c r="G200" s="59" t="n">
        <x:v>208.1999969482422</x:v>
      </x:c>
      <x:c r="H200" s="23" t="str">
        <x:v>raw_open × adjusted_close / raw_close</x:v>
      </x:c>
      <x:c r="I200" s="76" t="str">
        <x:v>https://query1.finance.yahoo.com/v8/finance/chart/NVDA?period1=1779284110&amp;period2=1785815999&amp;interval=1d&amp;events=div%2Csplits&amp;includeAdjustedClose=true</x:v>
      </x:c>
      <x:c r="J200" s="23" t="str">
        <x:v>R0 방법론 검증 전용</x:v>
      </x:c>
    </x:row>
    <x:row r="201">
      <x:c r="A201" s="23" t="str">
        <x:v>NVDA</x:v>
      </x:c>
      <x:c r="B201" s="53" t="n">
        <x:v>46231.5625</x:v>
      </x:c>
      <x:c r="C201" s="59" t="n">
        <x:v>195</x:v>
      </x:c>
      <x:c r="D201" s="59" t="n">
        <x:v>197.00999450683594</x:v>
      </x:c>
      <x:c r="E201" s="59" t="n">
        <x:v>197.00999450683594</x:v>
      </x:c>
      <x:c r="F201" s="73" t="n">
        <x:v>1</x:v>
      </x:c>
      <x:c r="G201" s="59" t="n">
        <x:v>195</x:v>
      </x:c>
      <x:c r="H201" s="23" t="str">
        <x:v>raw_open × adjusted_close / raw_close</x:v>
      </x:c>
      <x:c r="I201" s="76" t="str">
        <x:v>https://query1.finance.yahoo.com/v8/finance/chart/NVDA?period1=1779284110&amp;period2=1785815999&amp;interval=1d&amp;events=div%2Csplits&amp;includeAdjustedClose=true</x:v>
      </x:c>
      <x:c r="J201" s="23" t="str">
        <x:v>R0 방법론 검증 전용</x:v>
      </x:c>
    </x:row>
    <x:row r="202">
      <x:c r="A202" s="23" t="str">
        <x:v>NVDA</x:v>
      </x:c>
      <x:c r="B202" s="53" t="n">
        <x:v>46232.5625</x:v>
      </x:c>
      <x:c r="C202" s="59" t="n">
        <x:v>195.85000610351562</x:v>
      </x:c>
      <x:c r="D202" s="59" t="n">
        <x:v>190.00999450683594</x:v>
      </x:c>
      <x:c r="E202" s="59" t="n">
        <x:v>190.00999450683594</x:v>
      </x:c>
      <x:c r="F202" s="73" t="n">
        <x:v>1</x:v>
      </x:c>
      <x:c r="G202" s="59" t="n">
        <x:v>195.85000610351562</x:v>
      </x:c>
      <x:c r="H202" s="23" t="str">
        <x:v>raw_open × adjusted_close / raw_close</x:v>
      </x:c>
      <x:c r="I202" s="76" t="str">
        <x:v>https://query1.finance.yahoo.com/v8/finance/chart/NVDA?period1=1779284110&amp;period2=1785815999&amp;interval=1d&amp;events=div%2Csplits&amp;includeAdjustedClose=true</x:v>
      </x:c>
      <x:c r="J202" s="23" t="str">
        <x:v>R0 방법론 검증 전용</x:v>
      </x:c>
    </x:row>
    <x:row r="203">
      <x:c r="A203" s="23" t="str">
        <x:v>NVDA</x:v>
      </x:c>
      <x:c r="B203" s="53" t="n">
        <x:v>46233.5625</x:v>
      </x:c>
      <x:c r="C203" s="59" t="n">
        <x:v>193.4499969482422</x:v>
      </x:c>
      <x:c r="D203" s="59" t="n">
        <x:v>195.0399932861328</x:v>
      </x:c>
      <x:c r="E203" s="59" t="n">
        <x:v>195.0399932861328</x:v>
      </x:c>
      <x:c r="F203" s="73" t="n">
        <x:v>1</x:v>
      </x:c>
      <x:c r="G203" s="59" t="n">
        <x:v>193.4499969482422</x:v>
      </x:c>
      <x:c r="H203" s="23" t="str">
        <x:v>raw_open × adjusted_close / raw_close</x:v>
      </x:c>
      <x:c r="I203" s="76" t="str">
        <x:v>https://query1.finance.yahoo.com/v8/finance/chart/NVDA?period1=1779284110&amp;period2=1785815999&amp;interval=1d&amp;events=div%2Csplits&amp;includeAdjustedClose=true</x:v>
      </x:c>
      <x:c r="J203" s="23" t="str">
        <x:v>R0 방법론 검증 전용</x:v>
      </x:c>
    </x:row>
    <x:row r="204">
      <x:c r="A204" s="23" t="str">
        <x:v>NVDA</x:v>
      </x:c>
      <x:c r="B204" s="53" t="n">
        <x:v>46234.5625</x:v>
      </x:c>
      <x:c r="C204" s="59" t="n">
        <x:v>198.44000244140625</x:v>
      </x:c>
      <x:c r="D204" s="59" t="n">
        <x:v>200.75</x:v>
      </x:c>
      <x:c r="E204" s="59" t="n">
        <x:v>200.75</x:v>
      </x:c>
      <x:c r="F204" s="73" t="n">
        <x:v>1</x:v>
      </x:c>
      <x:c r="G204" s="59" t="n">
        <x:v>198.44000244140625</x:v>
      </x:c>
      <x:c r="H204" s="23" t="str">
        <x:v>raw_open × adjusted_close / raw_close</x:v>
      </x:c>
      <x:c r="I204" s="76" t="str">
        <x:v>https://query1.finance.yahoo.com/v8/finance/chart/NVDA?period1=1779284110&amp;period2=1785815999&amp;interval=1d&amp;events=div%2Csplits&amp;includeAdjustedClose=true</x:v>
      </x:c>
      <x:c r="J204" s="23" t="str">
        <x:v>R0 방법론 검증 전용</x:v>
      </x:c>
    </x:row>
    <x:row r="205">
      <x:c r="A205" s="23" t="str">
        <x:v>ASTS</x:v>
      </x:c>
      <x:c r="B205" s="53" t="n">
        <x:v>46162.5625</x:v>
      </x:c>
      <x:c r="C205" s="59" t="n">
        <x:v>87.26000213623047</x:v>
      </x:c>
      <x:c r="D205" s="59" t="n">
        <x:v>89.58000183105469</x:v>
      </x:c>
      <x:c r="E205" s="59" t="n">
        <x:v>89.58000183105469</x:v>
      </x:c>
      <x:c r="F205" s="73" t="n">
        <x:v>1</x:v>
      </x:c>
      <x:c r="G205" s="59" t="n">
        <x:v>87.26000213623047</x:v>
      </x:c>
      <x:c r="H205" s="23" t="str">
        <x:v>raw_open × adjusted_close / raw_close</x:v>
      </x:c>
      <x:c r="I205" s="76" t="str">
        <x:v>https://query1.finance.yahoo.com/v8/finance/chart/ASTS?period1=1779284110&amp;period2=1785815999&amp;interval=1d&amp;events=div%2Csplits&amp;includeAdjustedClose=true</x:v>
      </x:c>
      <x:c r="J205" s="23" t="str">
        <x:v>R0 방법론 검증 전용</x:v>
      </x:c>
    </x:row>
    <x:row r="206">
      <x:c r="A206" s="23" t="str">
        <x:v>ASTS</x:v>
      </x:c>
      <x:c r="B206" s="53" t="n">
        <x:v>46163.5625</x:v>
      </x:c>
      <x:c r="C206" s="59" t="n">
        <x:v>89.44999694824219</x:v>
      </x:c>
      <x:c r="D206" s="59" t="n">
        <x:v>96.2300033569336</x:v>
      </x:c>
      <x:c r="E206" s="59" t="n">
        <x:v>96.2300033569336</x:v>
      </x:c>
      <x:c r="F206" s="73" t="n">
        <x:v>1</x:v>
      </x:c>
      <x:c r="G206" s="59" t="n">
        <x:v>89.44999694824219</x:v>
      </x:c>
      <x:c r="H206" s="23" t="str">
        <x:v>raw_open × adjusted_close / raw_close</x:v>
      </x:c>
      <x:c r="I206" s="76" t="str">
        <x:v>https://query1.finance.yahoo.com/v8/finance/chart/ASTS?period1=1779284110&amp;period2=1785815999&amp;interval=1d&amp;events=div%2Csplits&amp;includeAdjustedClose=true</x:v>
      </x:c>
      <x:c r="J206" s="23" t="str">
        <x:v>R0 방법론 검증 전용</x:v>
      </x:c>
    </x:row>
    <x:row r="207">
      <x:c r="A207" s="23" t="str">
        <x:v>ASTS</x:v>
      </x:c>
      <x:c r="B207" s="53" t="n">
        <x:v>46164.5625</x:v>
      </x:c>
      <x:c r="C207" s="59" t="n">
        <x:v>98.5199966430664</x:v>
      </x:c>
      <x:c r="D207" s="59" t="n">
        <x:v>105.86000061035156</x:v>
      </x:c>
      <x:c r="E207" s="59" t="n">
        <x:v>105.86000061035156</x:v>
      </x:c>
      <x:c r="F207" s="73" t="n">
        <x:v>1</x:v>
      </x:c>
      <x:c r="G207" s="59" t="n">
        <x:v>98.5199966430664</x:v>
      </x:c>
      <x:c r="H207" s="23" t="str">
        <x:v>raw_open × adjusted_close / raw_close</x:v>
      </x:c>
      <x:c r="I207" s="76" t="str">
        <x:v>https://query1.finance.yahoo.com/v8/finance/chart/ASTS?period1=1779284110&amp;period2=1785815999&amp;interval=1d&amp;events=div%2Csplits&amp;includeAdjustedClose=true</x:v>
      </x:c>
      <x:c r="J207" s="23" t="str">
        <x:v>R0 방법론 검증 전용</x:v>
      </x:c>
    </x:row>
    <x:row r="208">
      <x:c r="A208" s="23" t="str">
        <x:v>ASTS</x:v>
      </x:c>
      <x:c r="B208" s="53" t="n">
        <x:v>46168.5625</x:v>
      </x:c>
      <x:c r="C208" s="59" t="n">
        <x:v>112.59500122070312</x:v>
      </x:c>
      <x:c r="D208" s="59" t="n">
        <x:v>119.69999694824219</x:v>
      </x:c>
      <x:c r="E208" s="59" t="n">
        <x:v>119.69999694824219</x:v>
      </x:c>
      <x:c r="F208" s="73" t="n">
        <x:v>1</x:v>
      </x:c>
      <x:c r="G208" s="59" t="n">
        <x:v>112.59500122070312</x:v>
      </x:c>
      <x:c r="H208" s="23" t="str">
        <x:v>raw_open × adjusted_close / raw_close</x:v>
      </x:c>
      <x:c r="I208" s="76" t="str">
        <x:v>https://query1.finance.yahoo.com/v8/finance/chart/ASTS?period1=1779284110&amp;period2=1785815999&amp;interval=1d&amp;events=div%2Csplits&amp;includeAdjustedClose=true</x:v>
      </x:c>
      <x:c r="J208" s="23" t="str">
        <x:v>R0 방법론 검증 전용</x:v>
      </x:c>
    </x:row>
    <x:row r="209">
      <x:c r="A209" s="23" t="str">
        <x:v>ASTS</x:v>
      </x:c>
      <x:c r="B209" s="53" t="n">
        <x:v>46169.5625</x:v>
      </x:c>
      <x:c r="C209" s="59" t="n">
        <x:v>124</x:v>
      </x:c>
      <x:c r="D209" s="59" t="n">
        <x:v>129.60000610351562</x:v>
      </x:c>
      <x:c r="E209" s="59" t="n">
        <x:v>129.60000610351562</x:v>
      </x:c>
      <x:c r="F209" s="73" t="n">
        <x:v>1</x:v>
      </x:c>
      <x:c r="G209" s="59" t="n">
        <x:v>124</x:v>
      </x:c>
      <x:c r="H209" s="23" t="str">
        <x:v>raw_open × adjusted_close / raw_close</x:v>
      </x:c>
      <x:c r="I209" s="76" t="str">
        <x:v>https://query1.finance.yahoo.com/v8/finance/chart/ASTS?period1=1779284110&amp;period2=1785815999&amp;interval=1d&amp;events=div%2Csplits&amp;includeAdjustedClose=true</x:v>
      </x:c>
      <x:c r="J209" s="23" t="str">
        <x:v>R0 방법론 검증 전용</x:v>
      </x:c>
    </x:row>
    <x:row r="210">
      <x:c r="A210" s="23" t="str">
        <x:v>ASTS</x:v>
      </x:c>
      <x:c r="B210" s="53" t="n">
        <x:v>46170.5625</x:v>
      </x:c>
      <x:c r="C210" s="59" t="n">
        <x:v>126.86499786376953</x:v>
      </x:c>
      <x:c r="D210" s="59" t="n">
        <x:v>133.08999633789062</x:v>
      </x:c>
      <x:c r="E210" s="59" t="n">
        <x:v>133.08999633789062</x:v>
      </x:c>
      <x:c r="F210" s="73" t="n">
        <x:v>1</x:v>
      </x:c>
      <x:c r="G210" s="59" t="n">
        <x:v>126.86499786376953</x:v>
      </x:c>
      <x:c r="H210" s="23" t="str">
        <x:v>raw_open × adjusted_close / raw_close</x:v>
      </x:c>
      <x:c r="I210" s="76" t="str">
        <x:v>https://query1.finance.yahoo.com/v8/finance/chart/ASTS?period1=1779284110&amp;period2=1785815999&amp;interval=1d&amp;events=div%2Csplits&amp;includeAdjustedClose=true</x:v>
      </x:c>
      <x:c r="J210" s="23" t="str">
        <x:v>R0 방법론 검증 전용</x:v>
      </x:c>
    </x:row>
    <x:row r="211">
      <x:c r="A211" s="23" t="str">
        <x:v>ASTS</x:v>
      </x:c>
      <x:c r="B211" s="53" t="n">
        <x:v>46171.5625</x:v>
      </x:c>
      <x:c r="C211" s="59" t="n">
        <x:v>113.45999908447266</x:v>
      </x:c>
      <x:c r="D211" s="59" t="n">
        <x:v>113.41000366210938</x:v>
      </x:c>
      <x:c r="E211" s="59" t="n">
        <x:v>113.41000366210938</x:v>
      </x:c>
      <x:c r="F211" s="73" t="n">
        <x:v>1</x:v>
      </x:c>
      <x:c r="G211" s="59" t="n">
        <x:v>113.45999908447266</x:v>
      </x:c>
      <x:c r="H211" s="23" t="str">
        <x:v>raw_open × adjusted_close / raw_close</x:v>
      </x:c>
      <x:c r="I211" s="76" t="str">
        <x:v>https://query1.finance.yahoo.com/v8/finance/chart/ASTS?period1=1779284110&amp;period2=1785815999&amp;interval=1d&amp;events=div%2Csplits&amp;includeAdjustedClose=true</x:v>
      </x:c>
      <x:c r="J211" s="23" t="str">
        <x:v>R0 방법론 검증 전용</x:v>
      </x:c>
    </x:row>
    <x:row r="212">
      <x:c r="A212" s="23" t="str">
        <x:v>ASTS</x:v>
      </x:c>
      <x:c r="B212" s="53" t="n">
        <x:v>46174.5625</x:v>
      </x:c>
      <x:c r="C212" s="59" t="n">
        <x:v>108.66999816894531</x:v>
      </x:c>
      <x:c r="D212" s="59" t="n">
        <x:v>105.6500015258789</x:v>
      </x:c>
      <x:c r="E212" s="59" t="n">
        <x:v>105.6500015258789</x:v>
      </x:c>
      <x:c r="F212" s="73" t="n">
        <x:v>1</x:v>
      </x:c>
      <x:c r="G212" s="59" t="n">
        <x:v>108.66999816894531</x:v>
      </x:c>
      <x:c r="H212" s="23" t="str">
        <x:v>raw_open × adjusted_close / raw_close</x:v>
      </x:c>
      <x:c r="I212" s="76" t="str">
        <x:v>https://query1.finance.yahoo.com/v8/finance/chart/ASTS?period1=1779284110&amp;period2=1785815999&amp;interval=1d&amp;events=div%2Csplits&amp;includeAdjustedClose=true</x:v>
      </x:c>
      <x:c r="J212" s="23" t="str">
        <x:v>R0 방법론 검증 전용</x:v>
      </x:c>
    </x:row>
    <x:row r="213">
      <x:c r="A213" s="23" t="str">
        <x:v>ASTS</x:v>
      </x:c>
      <x:c r="B213" s="53" t="n">
        <x:v>46175.5625</x:v>
      </x:c>
      <x:c r="C213" s="59" t="n">
        <x:v>109.91000366210938</x:v>
      </x:c>
      <x:c r="D213" s="59" t="n">
        <x:v>118.16999816894531</x:v>
      </x:c>
      <x:c r="E213" s="59" t="n">
        <x:v>118.16999816894531</x:v>
      </x:c>
      <x:c r="F213" s="73" t="n">
        <x:v>1</x:v>
      </x:c>
      <x:c r="G213" s="59" t="n">
        <x:v>109.91000366210938</x:v>
      </x:c>
      <x:c r="H213" s="23" t="str">
        <x:v>raw_open × adjusted_close / raw_close</x:v>
      </x:c>
      <x:c r="I213" s="76" t="str">
        <x:v>https://query1.finance.yahoo.com/v8/finance/chart/ASTS?period1=1779284110&amp;period2=1785815999&amp;interval=1d&amp;events=div%2Csplits&amp;includeAdjustedClose=true</x:v>
      </x:c>
      <x:c r="J213" s="23" t="str">
        <x:v>R0 방법론 검증 전용</x:v>
      </x:c>
    </x:row>
    <x:row r="214">
      <x:c r="A214" s="23" t="str">
        <x:v>ASTS</x:v>
      </x:c>
      <x:c r="B214" s="53" t="n">
        <x:v>46176.5625</x:v>
      </x:c>
      <x:c r="C214" s="59" t="n">
        <x:v>113.50499725341797</x:v>
      </x:c>
      <x:c r="D214" s="59" t="n">
        <x:v>107.7300033569336</x:v>
      </x:c>
      <x:c r="E214" s="59" t="n">
        <x:v>107.7300033569336</x:v>
      </x:c>
      <x:c r="F214" s="73" t="n">
        <x:v>1</x:v>
      </x:c>
      <x:c r="G214" s="59" t="n">
        <x:v>113.50499725341797</x:v>
      </x:c>
      <x:c r="H214" s="23" t="str">
        <x:v>raw_open × adjusted_close / raw_close</x:v>
      </x:c>
      <x:c r="I214" s="76" t="str">
        <x:v>https://query1.finance.yahoo.com/v8/finance/chart/ASTS?period1=1779284110&amp;period2=1785815999&amp;interval=1d&amp;events=div%2Csplits&amp;includeAdjustedClose=true</x:v>
      </x:c>
      <x:c r="J214" s="23" t="str">
        <x:v>R0 방법론 검증 전용</x:v>
      </x:c>
    </x:row>
    <x:row r="215">
      <x:c r="A215" s="23" t="str">
        <x:v>ASTS</x:v>
      </x:c>
      <x:c r="B215" s="53" t="n">
        <x:v>46177.5625</x:v>
      </x:c>
      <x:c r="C215" s="59" t="n">
        <x:v>103.3499984741211</x:v>
      </x:c>
      <x:c r="D215" s="59" t="n">
        <x:v>107.29000091552734</x:v>
      </x:c>
      <x:c r="E215" s="59" t="n">
        <x:v>107.29000091552734</x:v>
      </x:c>
      <x:c r="F215" s="73" t="n">
        <x:v>1</x:v>
      </x:c>
      <x:c r="G215" s="59" t="n">
        <x:v>103.3499984741211</x:v>
      </x:c>
      <x:c r="H215" s="23" t="str">
        <x:v>raw_open × adjusted_close / raw_close</x:v>
      </x:c>
      <x:c r="I215" s="76" t="str">
        <x:v>https://query1.finance.yahoo.com/v8/finance/chart/ASTS?period1=1779284110&amp;period2=1785815999&amp;interval=1d&amp;events=div%2Csplits&amp;includeAdjustedClose=true</x:v>
      </x:c>
      <x:c r="J215" s="23" t="str">
        <x:v>R0 방법론 검증 전용</x:v>
      </x:c>
    </x:row>
    <x:row r="216">
      <x:c r="A216" s="23" t="str">
        <x:v>ASTS</x:v>
      </x:c>
      <x:c r="B216" s="53" t="n">
        <x:v>46178.5625</x:v>
      </x:c>
      <x:c r="C216" s="59" t="n">
        <x:v>103.33000183105469</x:v>
      </x:c>
      <x:c r="D216" s="59" t="n">
        <x:v>93.5999984741211</x:v>
      </x:c>
      <x:c r="E216" s="59" t="n">
        <x:v>93.5999984741211</x:v>
      </x:c>
      <x:c r="F216" s="73" t="n">
        <x:v>1</x:v>
      </x:c>
      <x:c r="G216" s="59" t="n">
        <x:v>103.33000183105469</x:v>
      </x:c>
      <x:c r="H216" s="23" t="str">
        <x:v>raw_open × adjusted_close / raw_close</x:v>
      </x:c>
      <x:c r="I216" s="76" t="str">
        <x:v>https://query1.finance.yahoo.com/v8/finance/chart/ASTS?period1=1779284110&amp;period2=1785815999&amp;interval=1d&amp;events=div%2Csplits&amp;includeAdjustedClose=true</x:v>
      </x:c>
      <x:c r="J216" s="23" t="str">
        <x:v>R0 방법론 검증 전용</x:v>
      </x:c>
    </x:row>
    <x:row r="217">
      <x:c r="A217" s="23" t="str">
        <x:v>ASTS</x:v>
      </x:c>
      <x:c r="B217" s="53" t="n">
        <x:v>46181.5625</x:v>
      </x:c>
      <x:c r="C217" s="59" t="n">
        <x:v>97.12999725341797</x:v>
      </x:c>
      <x:c r="D217" s="59" t="n">
        <x:v>92.05999755859375</x:v>
      </x:c>
      <x:c r="E217" s="59" t="n">
        <x:v>92.05999755859375</x:v>
      </x:c>
      <x:c r="F217" s="73" t="n">
        <x:v>1</x:v>
      </x:c>
      <x:c r="G217" s="59" t="n">
        <x:v>97.12999725341797</x:v>
      </x:c>
      <x:c r="H217" s="23" t="str">
        <x:v>raw_open × adjusted_close / raw_close</x:v>
      </x:c>
      <x:c r="I217" s="76" t="str">
        <x:v>https://query1.finance.yahoo.com/v8/finance/chart/ASTS?period1=1779284110&amp;period2=1785815999&amp;interval=1d&amp;events=div%2Csplits&amp;includeAdjustedClose=true</x:v>
      </x:c>
      <x:c r="J217" s="23" t="str">
        <x:v>R0 방법론 검증 전용</x:v>
      </x:c>
    </x:row>
    <x:row r="218">
      <x:c r="A218" s="23" t="str">
        <x:v>ASTS</x:v>
      </x:c>
      <x:c r="B218" s="53" t="n">
        <x:v>46182.5625</x:v>
      </x:c>
      <x:c r="C218" s="59" t="n">
        <x:v>97.2249984741211</x:v>
      </x:c>
      <x:c r="D218" s="59" t="n">
        <x:v>88.70999908447266</x:v>
      </x:c>
      <x:c r="E218" s="59" t="n">
        <x:v>88.70999908447266</x:v>
      </x:c>
      <x:c r="F218" s="73" t="n">
        <x:v>1</x:v>
      </x:c>
      <x:c r="G218" s="59" t="n">
        <x:v>97.2249984741211</x:v>
      </x:c>
      <x:c r="H218" s="23" t="str">
        <x:v>raw_open × adjusted_close / raw_close</x:v>
      </x:c>
      <x:c r="I218" s="76" t="str">
        <x:v>https://query1.finance.yahoo.com/v8/finance/chart/ASTS?period1=1779284110&amp;period2=1785815999&amp;interval=1d&amp;events=div%2Csplits&amp;includeAdjustedClose=true</x:v>
      </x:c>
      <x:c r="J218" s="23" t="str">
        <x:v>R0 방법론 검증 전용</x:v>
      </x:c>
    </x:row>
    <x:row r="219">
      <x:c r="A219" s="23" t="str">
        <x:v>ASTS</x:v>
      </x:c>
      <x:c r="B219" s="53" t="n">
        <x:v>46183.5625</x:v>
      </x:c>
      <x:c r="C219" s="59" t="n">
        <x:v>88.79499816894531</x:v>
      </x:c>
      <x:c r="D219" s="59" t="n">
        <x:v>87.31999969482422</x:v>
      </x:c>
      <x:c r="E219" s="59" t="n">
        <x:v>87.31999969482422</x:v>
      </x:c>
      <x:c r="F219" s="73" t="n">
        <x:v>1</x:v>
      </x:c>
      <x:c r="G219" s="59" t="n">
        <x:v>88.79499816894531</x:v>
      </x:c>
      <x:c r="H219" s="23" t="str">
        <x:v>raw_open × adjusted_close / raw_close</x:v>
      </x:c>
      <x:c r="I219" s="76" t="str">
        <x:v>https://query1.finance.yahoo.com/v8/finance/chart/ASTS?period1=1779284110&amp;period2=1785815999&amp;interval=1d&amp;events=div%2Csplits&amp;includeAdjustedClose=true</x:v>
      </x:c>
      <x:c r="J219" s="23" t="str">
        <x:v>R0 방법론 검증 전용</x:v>
      </x:c>
    </x:row>
    <x:row r="220">
      <x:c r="A220" s="23" t="str">
        <x:v>ASTS</x:v>
      </x:c>
      <x:c r="B220" s="53" t="n">
        <x:v>46184.5625</x:v>
      </x:c>
      <x:c r="C220" s="59" t="n">
        <x:v>87.47000122070312</x:v>
      </x:c>
      <x:c r="D220" s="59" t="n">
        <x:v>97.55999755859375</x:v>
      </x:c>
      <x:c r="E220" s="59" t="n">
        <x:v>97.55999755859375</x:v>
      </x:c>
      <x:c r="F220" s="73" t="n">
        <x:v>1</x:v>
      </x:c>
      <x:c r="G220" s="59" t="n">
        <x:v>87.47000122070312</x:v>
      </x:c>
      <x:c r="H220" s="23" t="str">
        <x:v>raw_open × adjusted_close / raw_close</x:v>
      </x:c>
      <x:c r="I220" s="76" t="str">
        <x:v>https://query1.finance.yahoo.com/v8/finance/chart/ASTS?period1=1779284110&amp;period2=1785815999&amp;interval=1d&amp;events=div%2Csplits&amp;includeAdjustedClose=true</x:v>
      </x:c>
      <x:c r="J220" s="23" t="str">
        <x:v>R0 방법론 검증 전용</x:v>
      </x:c>
    </x:row>
    <x:row r="221">
      <x:c r="A221" s="23" t="str">
        <x:v>ASTS</x:v>
      </x:c>
      <x:c r="B221" s="53" t="n">
        <x:v>46185.5625</x:v>
      </x:c>
      <x:c r="C221" s="59" t="n">
        <x:v>97</x:v>
      </x:c>
      <x:c r="D221" s="59" t="n">
        <x:v>82.41000366210938</x:v>
      </x:c>
      <x:c r="E221" s="59" t="n">
        <x:v>82.41000366210938</x:v>
      </x:c>
      <x:c r="F221" s="73" t="n">
        <x:v>1</x:v>
      </x:c>
      <x:c r="G221" s="59" t="n">
        <x:v>97</x:v>
      </x:c>
      <x:c r="H221" s="23" t="str">
        <x:v>raw_open × adjusted_close / raw_close</x:v>
      </x:c>
      <x:c r="I221" s="76" t="str">
        <x:v>https://query1.finance.yahoo.com/v8/finance/chart/ASTS?period1=1779284110&amp;period2=1785815999&amp;interval=1d&amp;events=div%2Csplits&amp;includeAdjustedClose=true</x:v>
      </x:c>
      <x:c r="J221" s="23" t="str">
        <x:v>R0 방법론 검증 전용</x:v>
      </x:c>
    </x:row>
    <x:row r="222">
      <x:c r="A222" s="23" t="str">
        <x:v>ASTS</x:v>
      </x:c>
      <x:c r="B222" s="53" t="n">
        <x:v>46188.5625</x:v>
      </x:c>
      <x:c r="C222" s="59" t="n">
        <x:v>86.02999877929688</x:v>
      </x:c>
      <x:c r="D222" s="59" t="n">
        <x:v>87.56999969482422</x:v>
      </x:c>
      <x:c r="E222" s="59" t="n">
        <x:v>87.56999969482422</x:v>
      </x:c>
      <x:c r="F222" s="73" t="n">
        <x:v>1</x:v>
      </x:c>
      <x:c r="G222" s="59" t="n">
        <x:v>86.02999877929688</x:v>
      </x:c>
      <x:c r="H222" s="23" t="str">
        <x:v>raw_open × adjusted_close / raw_close</x:v>
      </x:c>
      <x:c r="I222" s="76" t="str">
        <x:v>https://query1.finance.yahoo.com/v8/finance/chart/ASTS?period1=1779284110&amp;period2=1785815999&amp;interval=1d&amp;events=div%2Csplits&amp;includeAdjustedClose=true</x:v>
      </x:c>
      <x:c r="J222" s="23" t="str">
        <x:v>R0 방법론 검증 전용</x:v>
      </x:c>
    </x:row>
    <x:row r="223">
      <x:c r="A223" s="23" t="str">
        <x:v>ASTS</x:v>
      </x:c>
      <x:c r="B223" s="53" t="n">
        <x:v>46189.5625</x:v>
      </x:c>
      <x:c r="C223" s="59" t="n">
        <x:v>85.69999694824219</x:v>
      </x:c>
      <x:c r="D223" s="59" t="n">
        <x:v>82.25</x:v>
      </x:c>
      <x:c r="E223" s="59" t="n">
        <x:v>82.25</x:v>
      </x:c>
      <x:c r="F223" s="73" t="n">
        <x:v>1</x:v>
      </x:c>
      <x:c r="G223" s="59" t="n">
        <x:v>85.69999694824219</x:v>
      </x:c>
      <x:c r="H223" s="23" t="str">
        <x:v>raw_open × adjusted_close / raw_close</x:v>
      </x:c>
      <x:c r="I223" s="76" t="str">
        <x:v>https://query1.finance.yahoo.com/v8/finance/chart/ASTS?period1=1779284110&amp;period2=1785815999&amp;interval=1d&amp;events=div%2Csplits&amp;includeAdjustedClose=true</x:v>
      </x:c>
      <x:c r="J223" s="23" t="str">
        <x:v>R0 방법론 검증 전용</x:v>
      </x:c>
    </x:row>
    <x:row r="224">
      <x:c r="A224" s="23" t="str">
        <x:v>ASTS</x:v>
      </x:c>
      <x:c r="B224" s="53" t="n">
        <x:v>46190.5625</x:v>
      </x:c>
      <x:c r="C224" s="59" t="n">
        <x:v>85.87000274658203</x:v>
      </x:c>
      <x:c r="D224" s="59" t="n">
        <x:v>85.43000030517578</x:v>
      </x:c>
      <x:c r="E224" s="59" t="n">
        <x:v>85.43000030517578</x:v>
      </x:c>
      <x:c r="F224" s="73" t="n">
        <x:v>1</x:v>
      </x:c>
      <x:c r="G224" s="59" t="n">
        <x:v>85.87000274658203</x:v>
      </x:c>
      <x:c r="H224" s="23" t="str">
        <x:v>raw_open × adjusted_close / raw_close</x:v>
      </x:c>
      <x:c r="I224" s="76" t="str">
        <x:v>https://query1.finance.yahoo.com/v8/finance/chart/ASTS?period1=1779284110&amp;period2=1785815999&amp;interval=1d&amp;events=div%2Csplits&amp;includeAdjustedClose=true</x:v>
      </x:c>
      <x:c r="J224" s="23" t="str">
        <x:v>R0 방법론 검증 전용</x:v>
      </x:c>
    </x:row>
    <x:row r="225">
      <x:c r="A225" s="23" t="str">
        <x:v>ASTS</x:v>
      </x:c>
      <x:c r="B225" s="53" t="n">
        <x:v>46191.5625</x:v>
      </x:c>
      <x:c r="C225" s="59" t="n">
        <x:v>85.30000305175781</x:v>
      </x:c>
      <x:c r="D225" s="59" t="n">
        <x:v>80.66000366210938</x:v>
      </x:c>
      <x:c r="E225" s="59" t="n">
        <x:v>80.66000366210938</x:v>
      </x:c>
      <x:c r="F225" s="73" t="n">
        <x:v>1</x:v>
      </x:c>
      <x:c r="G225" s="59" t="n">
        <x:v>85.30000305175781</x:v>
      </x:c>
      <x:c r="H225" s="23" t="str">
        <x:v>raw_open × adjusted_close / raw_close</x:v>
      </x:c>
      <x:c r="I225" s="76" t="str">
        <x:v>https://query1.finance.yahoo.com/v8/finance/chart/ASTS?period1=1779284110&amp;period2=1785815999&amp;interval=1d&amp;events=div%2Csplits&amp;includeAdjustedClose=true</x:v>
      </x:c>
      <x:c r="J225" s="23" t="str">
        <x:v>R0 방법론 검증 전용</x:v>
      </x:c>
    </x:row>
    <x:row r="226">
      <x:c r="A226" s="23" t="str">
        <x:v>ASTS</x:v>
      </x:c>
      <x:c r="B226" s="53" t="n">
        <x:v>46195.5625</x:v>
      </x:c>
      <x:c r="C226" s="59" t="n">
        <x:v>79.66400146484375</x:v>
      </x:c>
      <x:c r="D226" s="59" t="n">
        <x:v>73.19000244140625</x:v>
      </x:c>
      <x:c r="E226" s="59" t="n">
        <x:v>73.19000244140625</x:v>
      </x:c>
      <x:c r="F226" s="73" t="n">
        <x:v>1</x:v>
      </x:c>
      <x:c r="G226" s="59" t="n">
        <x:v>79.66400146484375</x:v>
      </x:c>
      <x:c r="H226" s="23" t="str">
        <x:v>raw_open × adjusted_close / raw_close</x:v>
      </x:c>
      <x:c r="I226" s="76" t="str">
        <x:v>https://query1.finance.yahoo.com/v8/finance/chart/ASTS?period1=1779284110&amp;period2=1785815999&amp;interval=1d&amp;events=div%2Csplits&amp;includeAdjustedClose=true</x:v>
      </x:c>
      <x:c r="J226" s="23" t="str">
        <x:v>R0 방법론 검증 전용</x:v>
      </x:c>
    </x:row>
    <x:row r="227">
      <x:c r="A227" s="23" t="str">
        <x:v>ASTS</x:v>
      </x:c>
      <x:c r="B227" s="53" t="n">
        <x:v>46196.5625</x:v>
      </x:c>
      <x:c r="C227" s="59" t="n">
        <x:v>71.86499786376953</x:v>
      </x:c>
      <x:c r="D227" s="59" t="n">
        <x:v>72.87000274658203</x:v>
      </x:c>
      <x:c r="E227" s="59" t="n">
        <x:v>72.87000274658203</x:v>
      </x:c>
      <x:c r="F227" s="73" t="n">
        <x:v>1</x:v>
      </x:c>
      <x:c r="G227" s="59" t="n">
        <x:v>71.86499786376953</x:v>
      </x:c>
      <x:c r="H227" s="23" t="str">
        <x:v>raw_open × adjusted_close / raw_close</x:v>
      </x:c>
      <x:c r="I227" s="76" t="str">
        <x:v>https://query1.finance.yahoo.com/v8/finance/chart/ASTS?period1=1779284110&amp;period2=1785815999&amp;interval=1d&amp;events=div%2Csplits&amp;includeAdjustedClose=true</x:v>
      </x:c>
      <x:c r="J227" s="23" t="str">
        <x:v>R0 방법론 검증 전용</x:v>
      </x:c>
    </x:row>
    <x:row r="228">
      <x:c r="A228" s="23" t="str">
        <x:v>ASTS</x:v>
      </x:c>
      <x:c r="B228" s="53" t="n">
        <x:v>46197.5625</x:v>
      </x:c>
      <x:c r="C228" s="59" t="n">
        <x:v>71.9000015258789</x:v>
      </x:c>
      <x:c r="D228" s="59" t="n">
        <x:v>68.01000213623047</x:v>
      </x:c>
      <x:c r="E228" s="59" t="n">
        <x:v>68.01000213623047</x:v>
      </x:c>
      <x:c r="F228" s="73" t="n">
        <x:v>1</x:v>
      </x:c>
      <x:c r="G228" s="59" t="n">
        <x:v>71.9000015258789</x:v>
      </x:c>
      <x:c r="H228" s="23" t="str">
        <x:v>raw_open × adjusted_close / raw_close</x:v>
      </x:c>
      <x:c r="I228" s="76" t="str">
        <x:v>https://query1.finance.yahoo.com/v8/finance/chart/ASTS?period1=1779284110&amp;period2=1785815999&amp;interval=1d&amp;events=div%2Csplits&amp;includeAdjustedClose=true</x:v>
      </x:c>
      <x:c r="J228" s="23" t="str">
        <x:v>R0 방법론 검증 전용</x:v>
      </x:c>
    </x:row>
    <x:row r="229">
      <x:c r="A229" s="23" t="str">
        <x:v>ASTS</x:v>
      </x:c>
      <x:c r="B229" s="53" t="n">
        <x:v>46198.5625</x:v>
      </x:c>
      <x:c r="C229" s="59" t="n">
        <x:v>68.76000213623047</x:v>
      </x:c>
      <x:c r="D229" s="59" t="n">
        <x:v>65.62000274658203</x:v>
      </x:c>
      <x:c r="E229" s="59" t="n">
        <x:v>65.62000274658203</x:v>
      </x:c>
      <x:c r="F229" s="73" t="n">
        <x:v>1</x:v>
      </x:c>
      <x:c r="G229" s="59" t="n">
        <x:v>68.76000213623047</x:v>
      </x:c>
      <x:c r="H229" s="23" t="str">
        <x:v>raw_open × adjusted_close / raw_close</x:v>
      </x:c>
      <x:c r="I229" s="76" t="str">
        <x:v>https://query1.finance.yahoo.com/v8/finance/chart/ASTS?period1=1779284110&amp;period2=1785815999&amp;interval=1d&amp;events=div%2Csplits&amp;includeAdjustedClose=true</x:v>
      </x:c>
      <x:c r="J229" s="23" t="str">
        <x:v>R0 방법론 검증 전용</x:v>
      </x:c>
    </x:row>
    <x:row r="230">
      <x:c r="A230" s="23" t="str">
        <x:v>ASTS</x:v>
      </x:c>
      <x:c r="B230" s="53" t="n">
        <x:v>46199.5625</x:v>
      </x:c>
      <x:c r="C230" s="59" t="n">
        <x:v>64.67500305175781</x:v>
      </x:c>
      <x:c r="D230" s="59" t="n">
        <x:v>71.44999694824219</x:v>
      </x:c>
      <x:c r="E230" s="59" t="n">
        <x:v>71.44999694824219</x:v>
      </x:c>
      <x:c r="F230" s="73" t="n">
        <x:v>1</x:v>
      </x:c>
      <x:c r="G230" s="59" t="n">
        <x:v>64.67500305175781</x:v>
      </x:c>
      <x:c r="H230" s="23" t="str">
        <x:v>raw_open × adjusted_close / raw_close</x:v>
      </x:c>
      <x:c r="I230" s="76" t="str">
        <x:v>https://query1.finance.yahoo.com/v8/finance/chart/ASTS?period1=1779284110&amp;period2=1785815999&amp;interval=1d&amp;events=div%2Csplits&amp;includeAdjustedClose=true</x:v>
      </x:c>
      <x:c r="J230" s="23" t="str">
        <x:v>R0 방법론 검증 전용</x:v>
      </x:c>
    </x:row>
    <x:row r="231">
      <x:c r="A231" s="23" t="str">
        <x:v>ASTS</x:v>
      </x:c>
      <x:c r="B231" s="53" t="n">
        <x:v>46202.5625</x:v>
      </x:c>
      <x:c r="C231" s="59" t="n">
        <x:v>76.12999725341797</x:v>
      </x:c>
      <x:c r="D231" s="59" t="n">
        <x:v>86.7699966430664</x:v>
      </x:c>
      <x:c r="E231" s="59" t="n">
        <x:v>86.7699966430664</x:v>
      </x:c>
      <x:c r="F231" s="73" t="n">
        <x:v>1</x:v>
      </x:c>
      <x:c r="G231" s="59" t="n">
        <x:v>76.12999725341797</x:v>
      </x:c>
      <x:c r="H231" s="23" t="str">
        <x:v>raw_open × adjusted_close / raw_close</x:v>
      </x:c>
      <x:c r="I231" s="76" t="str">
        <x:v>https://query1.finance.yahoo.com/v8/finance/chart/ASTS?period1=1779284110&amp;period2=1785815999&amp;interval=1d&amp;events=div%2Csplits&amp;includeAdjustedClose=true</x:v>
      </x:c>
      <x:c r="J231" s="23" t="str">
        <x:v>R0 방법론 검증 전용</x:v>
      </x:c>
    </x:row>
    <x:row r="232">
      <x:c r="A232" s="23" t="str">
        <x:v>ASTS</x:v>
      </x:c>
      <x:c r="B232" s="53" t="n">
        <x:v>46203.5625</x:v>
      </x:c>
      <x:c r="C232" s="59" t="n">
        <x:v>81.91500091552734</x:v>
      </x:c>
      <x:c r="D232" s="59" t="n">
        <x:v>88.86000061035156</x:v>
      </x:c>
      <x:c r="E232" s="59" t="n">
        <x:v>88.86000061035156</x:v>
      </x:c>
      <x:c r="F232" s="73" t="n">
        <x:v>1</x:v>
      </x:c>
      <x:c r="G232" s="59" t="n">
        <x:v>81.91500091552734</x:v>
      </x:c>
      <x:c r="H232" s="23" t="str">
        <x:v>raw_open × adjusted_close / raw_close</x:v>
      </x:c>
      <x:c r="I232" s="76" t="str">
        <x:v>https://query1.finance.yahoo.com/v8/finance/chart/ASTS?period1=1779284110&amp;period2=1785815999&amp;interval=1d&amp;events=div%2Csplits&amp;includeAdjustedClose=true</x:v>
      </x:c>
      <x:c r="J232" s="23" t="str">
        <x:v>R0 방법론 검증 전용</x:v>
      </x:c>
    </x:row>
    <x:row r="233">
      <x:c r="A233" s="23" t="str">
        <x:v>ASTS</x:v>
      </x:c>
      <x:c r="B233" s="53" t="n">
        <x:v>46204.5625</x:v>
      </x:c>
      <x:c r="C233" s="59" t="n">
        <x:v>86.91000366210938</x:v>
      </x:c>
      <x:c r="D233" s="59" t="n">
        <x:v>86.0999984741211</x:v>
      </x:c>
      <x:c r="E233" s="59" t="n">
        <x:v>86.0999984741211</x:v>
      </x:c>
      <x:c r="F233" s="73" t="n">
        <x:v>1</x:v>
      </x:c>
      <x:c r="G233" s="59" t="n">
        <x:v>86.91000366210938</x:v>
      </x:c>
      <x:c r="H233" s="23" t="str">
        <x:v>raw_open × adjusted_close / raw_close</x:v>
      </x:c>
      <x:c r="I233" s="76" t="str">
        <x:v>https://query1.finance.yahoo.com/v8/finance/chart/ASTS?period1=1779284110&amp;period2=1785815999&amp;interval=1d&amp;events=div%2Csplits&amp;includeAdjustedClose=true</x:v>
      </x:c>
      <x:c r="J233" s="23" t="str">
        <x:v>R0 방법론 검증 전용</x:v>
      </x:c>
    </x:row>
    <x:row r="234">
      <x:c r="A234" s="23" t="str">
        <x:v>ASTS</x:v>
      </x:c>
      <x:c r="B234" s="53" t="n">
        <x:v>46205.5625</x:v>
      </x:c>
      <x:c r="C234" s="59" t="n">
        <x:v>87.41999816894531</x:v>
      </x:c>
      <x:c r="D234" s="59" t="n">
        <x:v>85.12999725341797</x:v>
      </x:c>
      <x:c r="E234" s="59" t="n">
        <x:v>85.12999725341797</x:v>
      </x:c>
      <x:c r="F234" s="73" t="n">
        <x:v>1</x:v>
      </x:c>
      <x:c r="G234" s="59" t="n">
        <x:v>87.41999816894531</x:v>
      </x:c>
      <x:c r="H234" s="23" t="str">
        <x:v>raw_open × adjusted_close / raw_close</x:v>
      </x:c>
      <x:c r="I234" s="76" t="str">
        <x:v>https://query1.finance.yahoo.com/v8/finance/chart/ASTS?period1=1779284110&amp;period2=1785815999&amp;interval=1d&amp;events=div%2Csplits&amp;includeAdjustedClose=true</x:v>
      </x:c>
      <x:c r="J234" s="23" t="str">
        <x:v>R0 방법론 검증 전용</x:v>
      </x:c>
    </x:row>
    <x:row r="235">
      <x:c r="A235" s="23" t="str">
        <x:v>ASTS</x:v>
      </x:c>
      <x:c r="B235" s="53" t="n">
        <x:v>46209.5625</x:v>
      </x:c>
      <x:c r="C235" s="59" t="n">
        <x:v>86.28500366210938</x:v>
      </x:c>
      <x:c r="D235" s="59" t="n">
        <x:v>80.63999938964844</x:v>
      </x:c>
      <x:c r="E235" s="59" t="n">
        <x:v>80.63999938964844</x:v>
      </x:c>
      <x:c r="F235" s="73" t="n">
        <x:v>1</x:v>
      </x:c>
      <x:c r="G235" s="59" t="n">
        <x:v>86.28500366210938</x:v>
      </x:c>
      <x:c r="H235" s="23" t="str">
        <x:v>raw_open × adjusted_close / raw_close</x:v>
      </x:c>
      <x:c r="I235" s="76" t="str">
        <x:v>https://query1.finance.yahoo.com/v8/finance/chart/ASTS?period1=1779284110&amp;period2=1785815999&amp;interval=1d&amp;events=div%2Csplits&amp;includeAdjustedClose=true</x:v>
      </x:c>
      <x:c r="J235" s="23" t="str">
        <x:v>R0 방법론 검증 전용</x:v>
      </x:c>
    </x:row>
    <x:row r="236">
      <x:c r="A236" s="23" t="str">
        <x:v>ASTS</x:v>
      </x:c>
      <x:c r="B236" s="53" t="n">
        <x:v>46210.5625</x:v>
      </x:c>
      <x:c r="C236" s="59" t="n">
        <x:v>79.07499694824219</x:v>
      </x:c>
      <x:c r="D236" s="59" t="n">
        <x:v>74.20999908447266</x:v>
      </x:c>
      <x:c r="E236" s="59" t="n">
        <x:v>74.20999908447266</x:v>
      </x:c>
      <x:c r="F236" s="73" t="n">
        <x:v>1</x:v>
      </x:c>
      <x:c r="G236" s="59" t="n">
        <x:v>79.07499694824219</x:v>
      </x:c>
      <x:c r="H236" s="23" t="str">
        <x:v>raw_open × adjusted_close / raw_close</x:v>
      </x:c>
      <x:c r="I236" s="76" t="str">
        <x:v>https://query1.finance.yahoo.com/v8/finance/chart/ASTS?period1=1779284110&amp;period2=1785815999&amp;interval=1d&amp;events=div%2Csplits&amp;includeAdjustedClose=true</x:v>
      </x:c>
      <x:c r="J236" s="23" t="str">
        <x:v>R0 방법론 검증 전용</x:v>
      </x:c>
    </x:row>
    <x:row r="237">
      <x:c r="A237" s="23" t="str">
        <x:v>ASTS</x:v>
      </x:c>
      <x:c r="B237" s="53" t="n">
        <x:v>46211.5625</x:v>
      </x:c>
      <x:c r="C237" s="59" t="n">
        <x:v>73.76000213623047</x:v>
      </x:c>
      <x:c r="D237" s="59" t="n">
        <x:v>74.94999694824219</x:v>
      </x:c>
      <x:c r="E237" s="59" t="n">
        <x:v>74.94999694824219</x:v>
      </x:c>
      <x:c r="F237" s="73" t="n">
        <x:v>1</x:v>
      </x:c>
      <x:c r="G237" s="59" t="n">
        <x:v>73.76000213623047</x:v>
      </x:c>
      <x:c r="H237" s="23" t="str">
        <x:v>raw_open × adjusted_close / raw_close</x:v>
      </x:c>
      <x:c r="I237" s="76" t="str">
        <x:v>https://query1.finance.yahoo.com/v8/finance/chart/ASTS?period1=1779284110&amp;period2=1785815999&amp;interval=1d&amp;events=div%2Csplits&amp;includeAdjustedClose=true</x:v>
      </x:c>
      <x:c r="J237" s="23" t="str">
        <x:v>R0 방법론 검증 전용</x:v>
      </x:c>
    </x:row>
    <x:row r="238">
      <x:c r="A238" s="23" t="str">
        <x:v>ASTS</x:v>
      </x:c>
      <x:c r="B238" s="53" t="n">
        <x:v>46212.5625</x:v>
      </x:c>
      <x:c r="C238" s="59" t="n">
        <x:v>75.33999633789062</x:v>
      </x:c>
      <x:c r="D238" s="59" t="n">
        <x:v>73.87999725341797</x:v>
      </x:c>
      <x:c r="E238" s="59" t="n">
        <x:v>73.87999725341797</x:v>
      </x:c>
      <x:c r="F238" s="73" t="n">
        <x:v>1</x:v>
      </x:c>
      <x:c r="G238" s="59" t="n">
        <x:v>75.33999633789062</x:v>
      </x:c>
      <x:c r="H238" s="23" t="str">
        <x:v>raw_open × adjusted_close / raw_close</x:v>
      </x:c>
      <x:c r="I238" s="76" t="str">
        <x:v>https://query1.finance.yahoo.com/v8/finance/chart/ASTS?period1=1779284110&amp;period2=1785815999&amp;interval=1d&amp;events=div%2Csplits&amp;includeAdjustedClose=true</x:v>
      </x:c>
      <x:c r="J238" s="23" t="str">
        <x:v>R0 방법론 검증 전용</x:v>
      </x:c>
    </x:row>
    <x:row r="239">
      <x:c r="A239" s="23" t="str">
        <x:v>ASTS</x:v>
      </x:c>
      <x:c r="B239" s="53" t="n">
        <x:v>46213.5625</x:v>
      </x:c>
      <x:c r="C239" s="59" t="n">
        <x:v>74.08000183105469</x:v>
      </x:c>
      <x:c r="D239" s="59" t="n">
        <x:v>73.31999969482422</x:v>
      </x:c>
      <x:c r="E239" s="59" t="n">
        <x:v>73.31999969482422</x:v>
      </x:c>
      <x:c r="F239" s="73" t="n">
        <x:v>1</x:v>
      </x:c>
      <x:c r="G239" s="59" t="n">
        <x:v>74.08000183105469</x:v>
      </x:c>
      <x:c r="H239" s="23" t="str">
        <x:v>raw_open × adjusted_close / raw_close</x:v>
      </x:c>
      <x:c r="I239" s="76" t="str">
        <x:v>https://query1.finance.yahoo.com/v8/finance/chart/ASTS?period1=1779284110&amp;period2=1785815999&amp;interval=1d&amp;events=div%2Csplits&amp;includeAdjustedClose=true</x:v>
      </x:c>
      <x:c r="J239" s="23" t="str">
        <x:v>R0 방법론 검증 전용</x:v>
      </x:c>
    </x:row>
    <x:row r="240">
      <x:c r="A240" s="23" t="str">
        <x:v>ASTS</x:v>
      </x:c>
      <x:c r="B240" s="53" t="n">
        <x:v>46216.5625</x:v>
      </x:c>
      <x:c r="C240" s="59" t="n">
        <x:v>72</x:v>
      </x:c>
      <x:c r="D240" s="59" t="n">
        <x:v>67.58000183105469</x:v>
      </x:c>
      <x:c r="E240" s="59" t="n">
        <x:v>67.58000183105469</x:v>
      </x:c>
      <x:c r="F240" s="73" t="n">
        <x:v>1</x:v>
      </x:c>
      <x:c r="G240" s="59" t="n">
        <x:v>72</x:v>
      </x:c>
      <x:c r="H240" s="23" t="str">
        <x:v>raw_open × adjusted_close / raw_close</x:v>
      </x:c>
      <x:c r="I240" s="76" t="str">
        <x:v>https://query1.finance.yahoo.com/v8/finance/chart/ASTS?period1=1779284110&amp;period2=1785815999&amp;interval=1d&amp;events=div%2Csplits&amp;includeAdjustedClose=true</x:v>
      </x:c>
      <x:c r="J240" s="23" t="str">
        <x:v>R0 방법론 검증 전용</x:v>
      </x:c>
    </x:row>
    <x:row r="241">
      <x:c r="A241" s="23" t="str">
        <x:v>ASTS</x:v>
      </x:c>
      <x:c r="B241" s="53" t="n">
        <x:v>46217.5625</x:v>
      </x:c>
      <x:c r="C241" s="59" t="n">
        <x:v>69.77999877929688</x:v>
      </x:c>
      <x:c r="D241" s="59" t="n">
        <x:v>68.81999969482422</x:v>
      </x:c>
      <x:c r="E241" s="59" t="n">
        <x:v>68.81999969482422</x:v>
      </x:c>
      <x:c r="F241" s="73" t="n">
        <x:v>1</x:v>
      </x:c>
      <x:c r="G241" s="59" t="n">
        <x:v>69.77999877929688</x:v>
      </x:c>
      <x:c r="H241" s="23" t="str">
        <x:v>raw_open × adjusted_close / raw_close</x:v>
      </x:c>
      <x:c r="I241" s="76" t="str">
        <x:v>https://query1.finance.yahoo.com/v8/finance/chart/ASTS?period1=1779284110&amp;period2=1785815999&amp;interval=1d&amp;events=div%2Csplits&amp;includeAdjustedClose=true</x:v>
      </x:c>
      <x:c r="J241" s="23" t="str">
        <x:v>R0 방법론 검증 전용</x:v>
      </x:c>
    </x:row>
    <x:row r="242">
      <x:c r="A242" s="23" t="str">
        <x:v>ASTS</x:v>
      </x:c>
      <x:c r="B242" s="53" t="n">
        <x:v>46218.5625</x:v>
      </x:c>
      <x:c r="C242" s="59" t="n">
        <x:v>68.86000061035156</x:v>
      </x:c>
      <x:c r="D242" s="59" t="n">
        <x:v>66.30999755859375</x:v>
      </x:c>
      <x:c r="E242" s="59" t="n">
        <x:v>66.30999755859375</x:v>
      </x:c>
      <x:c r="F242" s="73" t="n">
        <x:v>1</x:v>
      </x:c>
      <x:c r="G242" s="59" t="n">
        <x:v>68.86000061035156</x:v>
      </x:c>
      <x:c r="H242" s="23" t="str">
        <x:v>raw_open × adjusted_close / raw_close</x:v>
      </x:c>
      <x:c r="I242" s="76" t="str">
        <x:v>https://query1.finance.yahoo.com/v8/finance/chart/ASTS?period1=1779284110&amp;period2=1785815999&amp;interval=1d&amp;events=div%2Csplits&amp;includeAdjustedClose=true</x:v>
      </x:c>
      <x:c r="J242" s="23" t="str">
        <x:v>R0 방법론 검증 전용</x:v>
      </x:c>
    </x:row>
    <x:row r="243">
      <x:c r="A243" s="23" t="str">
        <x:v>ASTS</x:v>
      </x:c>
      <x:c r="B243" s="53" t="n">
        <x:v>46219.5625</x:v>
      </x:c>
      <x:c r="C243" s="59" t="n">
        <x:v>59.20000076293945</x:v>
      </x:c>
      <x:c r="D243" s="59" t="n">
        <x:v>55.0099983215332</x:v>
      </x:c>
      <x:c r="E243" s="59" t="n">
        <x:v>55.0099983215332</x:v>
      </x:c>
      <x:c r="F243" s="73" t="n">
        <x:v>1</x:v>
      </x:c>
      <x:c r="G243" s="59" t="n">
        <x:v>59.20000076293945</x:v>
      </x:c>
      <x:c r="H243" s="23" t="str">
        <x:v>raw_open × adjusted_close / raw_close</x:v>
      </x:c>
      <x:c r="I243" s="76" t="str">
        <x:v>https://query1.finance.yahoo.com/v8/finance/chart/ASTS?period1=1779284110&amp;period2=1785815999&amp;interval=1d&amp;events=div%2Csplits&amp;includeAdjustedClose=true</x:v>
      </x:c>
      <x:c r="J243" s="23" t="str">
        <x:v>R0 방법론 검증 전용</x:v>
      </x:c>
    </x:row>
    <x:row r="244">
      <x:c r="A244" s="23" t="str">
        <x:v>ASTS</x:v>
      </x:c>
      <x:c r="B244" s="53" t="n">
        <x:v>46220.5625</x:v>
      </x:c>
      <x:c r="C244" s="59" t="n">
        <x:v>54.845001220703125</x:v>
      </x:c>
      <x:c r="D244" s="59" t="n">
        <x:v>57.79999923706055</x:v>
      </x:c>
      <x:c r="E244" s="59" t="n">
        <x:v>57.79999923706055</x:v>
      </x:c>
      <x:c r="F244" s="73" t="n">
        <x:v>1</x:v>
      </x:c>
      <x:c r="G244" s="59" t="n">
        <x:v>54.845001220703125</x:v>
      </x:c>
      <x:c r="H244" s="23" t="str">
        <x:v>raw_open × adjusted_close / raw_close</x:v>
      </x:c>
      <x:c r="I244" s="76" t="str">
        <x:v>https://query1.finance.yahoo.com/v8/finance/chart/ASTS?period1=1779284110&amp;period2=1785815999&amp;interval=1d&amp;events=div%2Csplits&amp;includeAdjustedClose=true</x:v>
      </x:c>
      <x:c r="J244" s="23" t="str">
        <x:v>R0 방법론 검증 전용</x:v>
      </x:c>
    </x:row>
    <x:row r="245">
      <x:c r="A245" s="23" t="str">
        <x:v>ASTS</x:v>
      </x:c>
      <x:c r="B245" s="53" t="n">
        <x:v>46223.5625</x:v>
      </x:c>
      <x:c r="C245" s="59" t="n">
        <x:v>58.11000061035156</x:v>
      </x:c>
      <x:c r="D245" s="59" t="n">
        <x:v>57.41999816894531</x:v>
      </x:c>
      <x:c r="E245" s="59" t="n">
        <x:v>57.41999816894531</x:v>
      </x:c>
      <x:c r="F245" s="73" t="n">
        <x:v>1</x:v>
      </x:c>
      <x:c r="G245" s="59" t="n">
        <x:v>58.11000061035156</x:v>
      </x:c>
      <x:c r="H245" s="23" t="str">
        <x:v>raw_open × adjusted_close / raw_close</x:v>
      </x:c>
      <x:c r="I245" s="76" t="str">
        <x:v>https://query1.finance.yahoo.com/v8/finance/chart/ASTS?period1=1779284110&amp;period2=1785815999&amp;interval=1d&amp;events=div%2Csplits&amp;includeAdjustedClose=true</x:v>
      </x:c>
      <x:c r="J245" s="23" t="str">
        <x:v>R0 방법론 검증 전용</x:v>
      </x:c>
    </x:row>
    <x:row r="246">
      <x:c r="A246" s="23" t="str">
        <x:v>ASTS</x:v>
      </x:c>
      <x:c r="B246" s="53" t="n">
        <x:v>46224.5625</x:v>
      </x:c>
      <x:c r="C246" s="59" t="n">
        <x:v>58.880001068115234</x:v>
      </x:c>
      <x:c r="D246" s="59" t="n">
        <x:v>63.34000015258789</x:v>
      </x:c>
      <x:c r="E246" s="59" t="n">
        <x:v>63.34000015258789</x:v>
      </x:c>
      <x:c r="F246" s="73" t="n">
        <x:v>1</x:v>
      </x:c>
      <x:c r="G246" s="59" t="n">
        <x:v>58.880001068115234</x:v>
      </x:c>
      <x:c r="H246" s="23" t="str">
        <x:v>raw_open × adjusted_close / raw_close</x:v>
      </x:c>
      <x:c r="I246" s="76" t="str">
        <x:v>https://query1.finance.yahoo.com/v8/finance/chart/ASTS?period1=1779284110&amp;period2=1785815999&amp;interval=1d&amp;events=div%2Csplits&amp;includeAdjustedClose=true</x:v>
      </x:c>
      <x:c r="J246" s="23" t="str">
        <x:v>R0 방법론 검증 전용</x:v>
      </x:c>
    </x:row>
    <x:row r="247">
      <x:c r="A247" s="23" t="str">
        <x:v>ASTS</x:v>
      </x:c>
      <x:c r="B247" s="53" t="n">
        <x:v>46225.5625</x:v>
      </x:c>
      <x:c r="C247" s="59" t="n">
        <x:v>62.744998931884766</x:v>
      </x:c>
      <x:c r="D247" s="59" t="n">
        <x:v>61.95000076293945</x:v>
      </x:c>
      <x:c r="E247" s="59" t="n">
        <x:v>61.95000076293945</x:v>
      </x:c>
      <x:c r="F247" s="73" t="n">
        <x:v>1</x:v>
      </x:c>
      <x:c r="G247" s="59" t="n">
        <x:v>62.744998931884766</x:v>
      </x:c>
      <x:c r="H247" s="23" t="str">
        <x:v>raw_open × adjusted_close / raw_close</x:v>
      </x:c>
      <x:c r="I247" s="76" t="str">
        <x:v>https://query1.finance.yahoo.com/v8/finance/chart/ASTS?period1=1779284110&amp;period2=1785815999&amp;interval=1d&amp;events=div%2Csplits&amp;includeAdjustedClose=true</x:v>
      </x:c>
      <x:c r="J247" s="23" t="str">
        <x:v>R0 방법론 검증 전용</x:v>
      </x:c>
    </x:row>
    <x:row r="248">
      <x:c r="A248" s="23" t="str">
        <x:v>ASTS</x:v>
      </x:c>
      <x:c r="B248" s="53" t="n">
        <x:v>46226.5625</x:v>
      </x:c>
      <x:c r="C248" s="59" t="n">
        <x:v>59.970001220703125</x:v>
      </x:c>
      <x:c r="D248" s="59" t="n">
        <x:v>59.18000030517578</x:v>
      </x:c>
      <x:c r="E248" s="59" t="n">
        <x:v>59.18000030517578</x:v>
      </x:c>
      <x:c r="F248" s="73" t="n">
        <x:v>1</x:v>
      </x:c>
      <x:c r="G248" s="59" t="n">
        <x:v>59.970001220703125</x:v>
      </x:c>
      <x:c r="H248" s="23" t="str">
        <x:v>raw_open × adjusted_close / raw_close</x:v>
      </x:c>
      <x:c r="I248" s="76" t="str">
        <x:v>https://query1.finance.yahoo.com/v8/finance/chart/ASTS?period1=1779284110&amp;period2=1785815999&amp;interval=1d&amp;events=div%2Csplits&amp;includeAdjustedClose=true</x:v>
      </x:c>
      <x:c r="J248" s="23" t="str">
        <x:v>R0 방법론 검증 전용</x:v>
      </x:c>
    </x:row>
    <x:row r="249">
      <x:c r="A249" s="23" t="str">
        <x:v>ASTS</x:v>
      </x:c>
      <x:c r="B249" s="53" t="n">
        <x:v>46227.5625</x:v>
      </x:c>
      <x:c r="C249" s="59" t="n">
        <x:v>59.45000076293945</x:v>
      </x:c>
      <x:c r="D249" s="59" t="n">
        <x:v>56.20000076293945</x:v>
      </x:c>
      <x:c r="E249" s="59" t="n">
        <x:v>56.20000076293945</x:v>
      </x:c>
      <x:c r="F249" s="73" t="n">
        <x:v>1</x:v>
      </x:c>
      <x:c r="G249" s="59" t="n">
        <x:v>59.45000076293945</x:v>
      </x:c>
      <x:c r="H249" s="23" t="str">
        <x:v>raw_open × adjusted_close / raw_close</x:v>
      </x:c>
      <x:c r="I249" s="76" t="str">
        <x:v>https://query1.finance.yahoo.com/v8/finance/chart/ASTS?period1=1779284110&amp;period2=1785815999&amp;interval=1d&amp;events=div%2Csplits&amp;includeAdjustedClose=true</x:v>
      </x:c>
      <x:c r="J249" s="23" t="str">
        <x:v>R0 방법론 검증 전용</x:v>
      </x:c>
    </x:row>
    <x:row r="250">
      <x:c r="A250" s="23" t="str">
        <x:v>ASTS</x:v>
      </x:c>
      <x:c r="B250" s="53" t="n">
        <x:v>46230.5625</x:v>
      </x:c>
      <x:c r="C250" s="59" t="n">
        <x:v>56.43000030517578</x:v>
      </x:c>
      <x:c r="D250" s="59" t="n">
        <x:v>58.290000915527344</x:v>
      </x:c>
      <x:c r="E250" s="59" t="n">
        <x:v>58.290000915527344</x:v>
      </x:c>
      <x:c r="F250" s="73" t="n">
        <x:v>1</x:v>
      </x:c>
      <x:c r="G250" s="59" t="n">
        <x:v>56.43000030517578</x:v>
      </x:c>
      <x:c r="H250" s="23" t="str">
        <x:v>raw_open × adjusted_close / raw_close</x:v>
      </x:c>
      <x:c r="I250" s="76" t="str">
        <x:v>https://query1.finance.yahoo.com/v8/finance/chart/ASTS?period1=1779284110&amp;period2=1785815999&amp;interval=1d&amp;events=div%2Csplits&amp;includeAdjustedClose=true</x:v>
      </x:c>
      <x:c r="J250" s="23" t="str">
        <x:v>R0 방법론 검증 전용</x:v>
      </x:c>
    </x:row>
    <x:row r="251">
      <x:c r="A251" s="23" t="str">
        <x:v>ASTS</x:v>
      </x:c>
      <x:c r="B251" s="53" t="n">
        <x:v>46231.5625</x:v>
      </x:c>
      <x:c r="C251" s="59" t="n">
        <x:v>56.290000915527344</x:v>
      </x:c>
      <x:c r="D251" s="59" t="n">
        <x:v>56.54999923706055</x:v>
      </x:c>
      <x:c r="E251" s="59" t="n">
        <x:v>56.54999923706055</x:v>
      </x:c>
      <x:c r="F251" s="73" t="n">
        <x:v>1</x:v>
      </x:c>
      <x:c r="G251" s="59" t="n">
        <x:v>56.290000915527344</x:v>
      </x:c>
      <x:c r="H251" s="23" t="str">
        <x:v>raw_open × adjusted_close / raw_close</x:v>
      </x:c>
      <x:c r="I251" s="76" t="str">
        <x:v>https://query1.finance.yahoo.com/v8/finance/chart/ASTS?period1=1779284110&amp;period2=1785815999&amp;interval=1d&amp;events=div%2Csplits&amp;includeAdjustedClose=true</x:v>
      </x:c>
      <x:c r="J251" s="23" t="str">
        <x:v>R0 방법론 검증 전용</x:v>
      </x:c>
    </x:row>
    <x:row r="252">
      <x:c r="A252" s="23" t="str">
        <x:v>ASTS</x:v>
      </x:c>
      <x:c r="B252" s="53" t="n">
        <x:v>46232.5625</x:v>
      </x:c>
      <x:c r="C252" s="59" t="n">
        <x:v>57.36000061035156</x:v>
      </x:c>
      <x:c r="D252" s="59" t="n">
        <x:v>53.029998779296875</x:v>
      </x:c>
      <x:c r="E252" s="59" t="n">
        <x:v>53.029998779296875</x:v>
      </x:c>
      <x:c r="F252" s="73" t="n">
        <x:v>1</x:v>
      </x:c>
      <x:c r="G252" s="59" t="n">
        <x:v>57.36000061035156</x:v>
      </x:c>
      <x:c r="H252" s="23" t="str">
        <x:v>raw_open × adjusted_close / raw_close</x:v>
      </x:c>
      <x:c r="I252" s="76" t="str">
        <x:v>https://query1.finance.yahoo.com/v8/finance/chart/ASTS?period1=1779284110&amp;period2=1785815999&amp;interval=1d&amp;events=div%2Csplits&amp;includeAdjustedClose=true</x:v>
      </x:c>
      <x:c r="J252" s="23" t="str">
        <x:v>R0 방법론 검증 전용</x:v>
      </x:c>
    </x:row>
    <x:row r="253">
      <x:c r="A253" s="23" t="str">
        <x:v>ASTS</x:v>
      </x:c>
      <x:c r="B253" s="53" t="n">
        <x:v>46233.5625</x:v>
      </x:c>
      <x:c r="C253" s="59" t="n">
        <x:v>55.04999923706055</x:v>
      </x:c>
      <x:c r="D253" s="59" t="n">
        <x:v>58.439998626708984</x:v>
      </x:c>
      <x:c r="E253" s="59" t="n">
        <x:v>58.439998626708984</x:v>
      </x:c>
      <x:c r="F253" s="73" t="n">
        <x:v>1</x:v>
      </x:c>
      <x:c r="G253" s="59" t="n">
        <x:v>55.04999923706055</x:v>
      </x:c>
      <x:c r="H253" s="23" t="str">
        <x:v>raw_open × adjusted_close / raw_close</x:v>
      </x:c>
      <x:c r="I253" s="76" t="str">
        <x:v>https://query1.finance.yahoo.com/v8/finance/chart/ASTS?period1=1779284110&amp;period2=1785815999&amp;interval=1d&amp;events=div%2Csplits&amp;includeAdjustedClose=true</x:v>
      </x:c>
      <x:c r="J253" s="23" t="str">
        <x:v>R0 방법론 검증 전용</x:v>
      </x:c>
    </x:row>
    <x:row r="254">
      <x:c r="A254" s="24" t="str">
        <x:v>ASTS</x:v>
      </x:c>
      <x:c r="B254" s="54" t="n">
        <x:v>46234.5625</x:v>
      </x:c>
      <x:c r="C254" s="60" t="n">
        <x:v>60.650001525878906</x:v>
      </x:c>
      <x:c r="D254" s="60" t="n">
        <x:v>58.97999954223633</x:v>
      </x:c>
      <x:c r="E254" s="60" t="n">
        <x:v>58.97999954223633</x:v>
      </x:c>
      <x:c r="F254" s="74" t="n">
        <x:v>1</x:v>
      </x:c>
      <x:c r="G254" s="60" t="n">
        <x:v>60.650001525878906</x:v>
      </x:c>
      <x:c r="H254" s="24" t="str">
        <x:v>raw_open × adjusted_close / raw_close</x:v>
      </x:c>
      <x:c r="I254" s="77" t="str">
        <x:v>https://query1.finance.yahoo.com/v8/finance/chart/ASTS?period1=1779284110&amp;period2=1785815999&amp;interval=1d&amp;events=div%2Csplits&amp;includeAdjustedClose=true</x:v>
      </x:c>
      <x:c r="J254" s="24" t="str">
        <x:v>R0 방법론 검증 전용</x:v>
      </x:c>
    </x:row>
  </x:sheetData>
  <x:mergeCells>
    <x:mergeCell ref="A1:J1"/>
    <x:mergeCell ref="A2:J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9" hidden="0" customWidth="1"/>
    <x:col min="2" max="2" width="13" hidden="0" customWidth="1"/>
    <x:col min="3" max="3" width="13" hidden="0" customWidth="1"/>
    <x:col min="4" max="4" width="13" hidden="0" customWidth="1"/>
    <x:col min="5" max="5" width="13" hidden="0" customWidth="1"/>
    <x:col min="6" max="6" width="13" hidden="0" customWidth="1"/>
    <x:col min="7" max="7" width="42" hidden="0" customWidth="1"/>
  </x:cols>
  <x:sheetData>
    <x:row r="1" ht="36" customHeight="1">
      <x:c r="A1" s="3" t="str">
        <x:v>검증 Checks</x:v>
      </x:c>
      <x:c r="B1" s="3" t="str">
        <x:v>검증 Checks</x:v>
      </x:c>
      <x:c r="C1" s="3" t="str">
        <x:v>검증 Checks</x:v>
      </x:c>
      <x:c r="D1" s="3" t="str">
        <x:v>검증 Checks</x:v>
      </x:c>
      <x:c r="E1" s="3" t="str">
        <x:v>검증 Checks</x:v>
      </x:c>
      <x:c r="F1" s="3" t="str">
        <x:v>검증 Checks</x:v>
      </x:c>
      <x:c r="G1" s="3" t="str">
        <x:v>검증 Checks</x:v>
      </x:c>
    </x:row>
    <x:row r="4" ht="32" customHeight="1">
      <x:c r="A4" s="15" t="str">
        <x:v>검증 항목</x:v>
      </x:c>
      <x:c r="B4" s="16" t="str">
        <x:v>실제</x:v>
      </x:c>
      <x:c r="C4" s="16" t="str">
        <x:v>기대</x:v>
      </x:c>
      <x:c r="D4" s="16" t="str">
        <x:v>차이</x:v>
      </x:c>
      <x:c r="E4" s="16" t="str">
        <x:v>허용치</x:v>
      </x:c>
      <x:c r="F4" s="16" t="str">
        <x:v>상태</x:v>
      </x:c>
      <x:c r="G4" s="17" t="str">
        <x:v>메모</x:v>
      </x:c>
    </x:row>
    <x:row r="5">
      <x:c r="A5" s="22" t="str">
        <x:v>3명 중 2명 합의 경계값</x:v>
      </x:c>
      <x:c r="B5" s="78" t="n">
        <x:f>2/3</x:f>
        <x:v>0.6666666666666666</x:v>
      </x:c>
      <x:c r="C5" s="78" t="n">
        <x:f>'Assumptions'!$B$5</x:f>
        <x:v>0.6666666666666666</x:v>
      </x:c>
      <x:c r="D5" s="78" t="n">
        <x:f>B5-C5</x:f>
        <x:v>0</x:v>
      </x:c>
      <x:c r="E5" s="78" t="n">
        <x:v>0.000001</x:v>
      </x:c>
      <x:c r="F5" s="22" t="str">
        <x:f>IF(ABS(D5)&lt;=E5,"OK","FAIL")</x:f>
        <x:v>OK</x:v>
      </x:c>
      <x:c r="G5" s="22" t="str">
        <x:v>0.67이 아니라 정확한 2/3를 사용</x:v>
      </x:c>
    </x:row>
    <x:row r="6">
      <x:c r="A6" s="23" t="str">
        <x:v>원천 분석 행 수</x:v>
      </x:c>
      <x:c r="B6" s="23" t="n">
        <x:v>307</x:v>
      </x:c>
      <x:c r="C6" s="23" t="n">
        <x:v>307</x:v>
      </x:c>
      <x:c r="D6" s="23" t="n">
        <x:f>B6-C6</x:f>
        <x:v>0</x:v>
      </x:c>
      <x:c r="E6" s="23" t="n">
        <x:v>0</x:v>
      </x:c>
      <x:c r="F6" s="23" t="str">
        <x:f>IF(D6=0,"OK","FAIL")</x:f>
        <x:v>OK</x:v>
      </x:c>
      <x:c r="G6" s="23" t="str">
        <x:v>Supabase 읽기 결과</x:v>
      </x:c>
    </x:row>
    <x:row r="7">
      <x:c r="A7" s="23" t="str">
        <x:v>5종목 모두 복수 분석가 보유</x:v>
      </x:c>
      <x:c r="B7" s="23" t="n">
        <x:v>5</x:v>
      </x:c>
      <x:c r="C7" s="23" t="n">
        <x:v>5</x:v>
      </x:c>
      <x:c r="D7" s="23" t="n">
        <x:f>B7-C7</x:f>
        <x:v>0</x:v>
      </x:c>
      <x:c r="E7" s="23" t="n">
        <x:v>0</x:v>
      </x:c>
      <x:c r="F7" s="23" t="str">
        <x:f>IF(D7=0,"OK","FAIL")</x:f>
        <x:v>OK</x:v>
      </x:c>
      <x:c r="G7" s="23" t="str">
        <x:v>대표 종목 커버리지</x:v>
      </x:c>
    </x:row>
    <x:row r="8">
      <x:c r="A8" s="23" t="str">
        <x:v>신호 기준가 누락</x:v>
      </x:c>
      <x:c r="B8" s="23" t="n">
        <x:f>COUNTIF('Signal Events'!$AM$6:$AM$20,"&lt;&gt;OK")</x:f>
        <x:v>0</x:v>
      </x:c>
      <x:c r="C8" s="23" t="n">
        <x:v>0</x:v>
      </x:c>
      <x:c r="D8" s="23" t="n">
        <x:f>B8-C8</x:f>
        <x:v>0</x:v>
      </x:c>
      <x:c r="E8" s="23" t="n">
        <x:v>0</x:v>
      </x:c>
      <x:c r="F8" s="23" t="str">
        <x:f>IF(D8=0,"OK","FAIL")</x:f>
        <x:v>OK</x:v>
      </x:c>
      <x:c r="G8" s="23" t="str">
        <x:v>가격 누락은 0%로 대체하지 않음</x:v>
      </x:c>
    </x:row>
    <x:row r="9">
      <x:c r="A9" s="23" t="str">
        <x:v>기준가가 신호 이후 세션인지</x:v>
      </x:c>
      <x:c r="B9" s="23" t="n">
        <x:v>0</x:v>
      </x:c>
      <x:c r="C9" s="23" t="n">
        <x:v>0</x:v>
      </x:c>
      <x:c r="D9" s="23" t="n">
        <x:f>B9-C9</x:f>
        <x:v>0</x:v>
      </x:c>
      <x:c r="E9" s="23" t="n">
        <x:v>0</x:v>
      </x:c>
      <x:c r="F9" s="23" t="str">
        <x:f>IF(D9=0,"OK","FAIL")</x:f>
        <x:v>OK</x:v>
      </x:c>
      <x:c r="G9" s="23" t="str">
        <x:v>Yahoo 일봉 timestamp를 세션 오픈으로 사용</x:v>
      </x:c>
    </x:row>
    <x:row r="10">
      <x:c r="A10" s="23" t="str">
        <x:v>신호 최소 분석가 수</x:v>
      </x:c>
      <x:c r="B10" s="23" t="n">
        <x:f>MIN('Signal Events'!$G$6:$G$205)</x:f>
        <x:v>2</x:v>
      </x:c>
      <x:c r="C10" s="23" t="n">
        <x:f>'Assumptions'!$B$6</x:f>
        <x:v>2</x:v>
      </x:c>
      <x:c r="D10" s="23" t="n">
        <x:f>B10-C10</x:f>
        <x:v>0</x:v>
      </x:c>
      <x:c r="E10" s="23" t="n">
        <x:v>0</x:v>
      </x:c>
      <x:c r="F10" s="23" t="str">
        <x:f>IF(D10&gt;=E10,"OK","FAIL")</x:f>
        <x:v>OK</x:v>
      </x:c>
      <x:c r="G10" s="23" t="str">
        <x:v>entry/flip 이벤트만 검사</x:v>
      </x:c>
    </x:row>
    <x:row r="11">
      <x:c r="A11" s="23" t="str">
        <x:v>trigger URL 누락</x:v>
      </x:c>
      <x:c r="B11" s="23" t="n">
        <x:f>COUNTBLANK('Signal Events'!$AI$6:$AI$20)</x:f>
        <x:v>0</x:v>
      </x:c>
      <x:c r="C11" s="23" t="n">
        <x:v>0</x:v>
      </x:c>
      <x:c r="D11" s="23" t="n">
        <x:f>B11-C11</x:f>
        <x:v>0</x:v>
      </x:c>
      <x:c r="E11" s="23" t="n">
        <x:v>0</x:v>
      </x:c>
      <x:c r="F11" s="23" t="str">
        <x:f>IF(D11=0,"OK","FAIL")</x:f>
        <x:v>OK</x:v>
      </x:c>
      <x:c r="G11" s="23" t="str">
        <x:v>모든 신호가 원문으로 돌아갈 수 있어야 함</x:v>
      </x:c>
    </x:row>
    <x:row r="12">
      <x:c r="A12" s="24" t="str">
        <x:v>모델 상태</x:v>
      </x:c>
      <x:c r="B12" s="24"/>
      <x:c r="C12" s="24"/>
      <x:c r="D12" s="24"/>
      <x:c r="E12" s="24"/>
      <x:c r="F12" s="24" t="str">
        <x:f>IF(COUNTIF(F5:F11,"FAIL")=0,"OK","FAIL")</x:f>
        <x:v>OK</x:v>
      </x:c>
      <x:c r="G12" s="24" t="str">
        <x:v>모든 개별 check 집계</x:v>
      </x:c>
    </x:row>
  </x:sheetData>
  <x:mergeCells>
    <x:mergeCell ref="A1:G1"/>
  </x:mergeCells>
  <x:conditionalFormatting sqref="F5:F12">
    <x:cfRule type="containsText" dxfId="9" priority="1" operator="containsText" text="OK"/>
    <x:cfRule type="containsText" dxfId="10" priority="2" operator="containsText" text="FAIL"/>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48" hidden="0" customWidth="1"/>
    <x:col min="5" max="5" width="34" hidden="0" customWidth="1"/>
    <x:col min="6" max="6" width="34" hidden="0" customWidth="1"/>
  </x:cols>
  <x:sheetData>
    <x:row r="1" ht="36" customHeight="1">
      <x:c r="A1" s="3" t="str">
        <x:v>Sources &amp; Audit Trail</x:v>
      </x:c>
      <x:c r="B1" s="3" t="str">
        <x:v>Sources &amp; Audit Trail</x:v>
      </x:c>
      <x:c r="C1" s="3" t="str">
        <x:v>Sources &amp; Audit Trail</x:v>
      </x:c>
      <x:c r="D1" s="3" t="str">
        <x:v>Sources &amp; Audit Trail</x:v>
      </x:c>
      <x:c r="E1" s="3" t="str">
        <x:v>Sources &amp; Audit Trail</x:v>
      </x:c>
      <x:c r="F1" s="3" t="str">
        <x:v>Sources &amp; Audit Trail</x:v>
      </x:c>
    </x:row>
    <x:row r="4" ht="32" customHeight="1">
      <x:c r="A4" s="15" t="str">
        <x:v>Source ID</x:v>
      </x:c>
      <x:c r="B4" s="16" t="str">
        <x:v>데이터</x:v>
      </x:c>
      <x:c r="C4" s="16" t="str">
        <x:v>기준일/범위</x:v>
      </x:c>
      <x:c r="D4" s="16" t="str">
        <x:v>Source URL</x:v>
      </x:c>
      <x:c r="E4" s="16" t="str">
        <x:v>사용 범위</x:v>
      </x:c>
      <x:c r="F4" s="17" t="str">
        <x:v>주의사항</x:v>
      </x:c>
    </x:row>
    <x:row r="5">
      <x:c r="A5" s="22" t="str">
        <x:v>SRC-OPINIONS</x:v>
      </x:c>
      <x:c r="B5" s="22" t="str">
        <x:v>인플루언서 post ticker analyses</x:v>
      </x:c>
      <x:c r="C5" s="22" t="str">
        <x:v>2026-05-30 ~ 2026-07-31</x:v>
      </x:c>
      <x:c r="D5" s="64" t="str">
        <x:v>https://lipxobjpyfdsqeloyypi.supabase.co/rest/v1/ticker_opinion_timeline</x:v>
      </x:c>
      <x:c r="E5" s="49" t="str">
        <x:v>307개 분석 기록</x:v>
      </x:c>
      <x:c r="F5" s="49" t="str">
        <x:v>비밀 키는 workbook에 저장하지 않음</x:v>
      </x:c>
    </x:row>
    <x:row r="6">
      <x:c r="A6" s="23" t="str">
        <x:v>SRC-PRICE-COHR</x:v>
      </x:c>
      <x:c r="B6" s="23" t="str">
        <x:v>COHR 일별 OHLC / adjusted close</x:v>
      </x:c>
      <x:c r="C6" s="23" t="str">
        <x:v>2026-05-20 ~ 2026-08-04</x:v>
      </x:c>
      <x:c r="D6" s="65" t="str">
        <x:v>https://query1.finance.yahoo.com/v8/finance/chart/COHR?period1=1779284110&amp;period2=1785815999&amp;interval=1d&amp;events=div%2Csplits&amp;includeAdjustedClose=true</x:v>
      </x:c>
      <x:c r="E6" s="50" t="str">
        <x:v>Release 0 방법론 검증</x:v>
      </x:c>
      <x:c r="F6" s="50" t="str">
        <x:v>운영/공개 표시 권한 미확정 · 정식 제공자 대체 필요</x:v>
      </x:c>
    </x:row>
    <x:row r="7">
      <x:c r="A7" s="23" t="str">
        <x:v>SRC-PRICE-AAOI</x:v>
      </x:c>
      <x:c r="B7" s="23" t="str">
        <x:v>AAOI 일별 OHLC / adjusted close</x:v>
      </x:c>
      <x:c r="C7" s="23" t="str">
        <x:v>2026-05-20 ~ 2026-08-04</x:v>
      </x:c>
      <x:c r="D7" s="65" t="str">
        <x:v>https://query1.finance.yahoo.com/v8/finance/chart/AAOI?period1=1779284110&amp;period2=1785815999&amp;interval=1d&amp;events=div%2Csplits&amp;includeAdjustedClose=true</x:v>
      </x:c>
      <x:c r="E7" s="50" t="str">
        <x:v>Release 0 방법론 검증</x:v>
      </x:c>
      <x:c r="F7" s="50" t="str">
        <x:v>운영/공개 표시 권한 미확정 · 정식 제공자 대체 필요</x:v>
      </x:c>
    </x:row>
    <x:row r="8">
      <x:c r="A8" s="23" t="str">
        <x:v>SRC-PRICE-LITE</x:v>
      </x:c>
      <x:c r="B8" s="23" t="str">
        <x:v>LITE 일별 OHLC / adjusted close</x:v>
      </x:c>
      <x:c r="C8" s="23" t="str">
        <x:v>2026-05-20 ~ 2026-08-04</x:v>
      </x:c>
      <x:c r="D8" s="65" t="str">
        <x:v>https://query1.finance.yahoo.com/v8/finance/chart/LITE?period1=1779284110&amp;period2=1785815999&amp;interval=1d&amp;events=div%2Csplits&amp;includeAdjustedClose=true</x:v>
      </x:c>
      <x:c r="E8" s="50" t="str">
        <x:v>Release 0 방법론 검증</x:v>
      </x:c>
      <x:c r="F8" s="50" t="str">
        <x:v>운영/공개 표시 권한 미확정 · 정식 제공자 대체 필요</x:v>
      </x:c>
    </x:row>
    <x:row r="9">
      <x:c r="A9" s="23" t="str">
        <x:v>SRC-PRICE-NVDA</x:v>
      </x:c>
      <x:c r="B9" s="23" t="str">
        <x:v>NVDA 일별 OHLC / adjusted close</x:v>
      </x:c>
      <x:c r="C9" s="23" t="str">
        <x:v>2026-05-20 ~ 2026-08-04</x:v>
      </x:c>
      <x:c r="D9" s="65" t="str">
        <x:v>https://query1.finance.yahoo.com/v8/finance/chart/NVDA?period1=1779284110&amp;period2=1785815999&amp;interval=1d&amp;events=div%2Csplits&amp;includeAdjustedClose=true</x:v>
      </x:c>
      <x:c r="E9" s="50" t="str">
        <x:v>Release 0 방법론 검증</x:v>
      </x:c>
      <x:c r="F9" s="50" t="str">
        <x:v>운영/공개 표시 권한 미확정 · 정식 제공자 대체 필요</x:v>
      </x:c>
    </x:row>
    <x:row r="10">
      <x:c r="A10" s="23" t="str">
        <x:v>SRC-PRICE-ASTS</x:v>
      </x:c>
      <x:c r="B10" s="23" t="str">
        <x:v>ASTS 일별 OHLC / adjusted close</x:v>
      </x:c>
      <x:c r="C10" s="23" t="str">
        <x:v>2026-05-20 ~ 2026-08-04</x:v>
      </x:c>
      <x:c r="D10" s="65" t="str">
        <x:v>https://query1.finance.yahoo.com/v8/finance/chart/ASTS?period1=1779284110&amp;period2=1785815999&amp;interval=1d&amp;events=div%2Csplits&amp;includeAdjustedClose=true</x:v>
      </x:c>
      <x:c r="E10" s="50" t="str">
        <x:v>Release 0 방법론 검증</x:v>
      </x:c>
      <x:c r="F10" s="50" t="str">
        <x:v>운영/공개 표시 권한 미확정 · 정식 제공자 대체 필요</x:v>
      </x:c>
    </x:row>
    <x:row r="11">
      <x:c r="A11" s="24" t="str">
        <x:v>METHOD-PRD</x:v>
      </x:c>
      <x:c r="B11" s="24" t="str">
        <x:v>종합 신호 성과 PRD</x:v>
      </x:c>
      <x:c r="C11" s="24" t="str">
        <x:v>2026-08-01</x:v>
      </x:c>
      <x:c r="D11" s="66" t="str">
        <x:v>/Users/hyeongmin/Desktop/workspace/serenity-stock/PRD-signal-performance.md</x:v>
      </x:c>
      <x:c r="E11" s="51" t="str">
        <x:v>signal-v1.1-r0</x:v>
      </x:c>
      <x:c r="F11" s="51" t="str">
        <x:v>0.67 경계값을 2/3로 수정 권고</x:v>
      </x:c>
    </x:row>
    <x:row r="13" ht="32" customHeight="1">
      <x:c r="A13" s="15" t="str">
        <x:v>버전 변경</x:v>
      </x:c>
      <x:c r="B13" s="17" t="str">
        <x:v>내용</x:v>
      </x:c>
    </x:row>
    <x:row r="14">
      <x:c r="A14" s="22" t="str">
        <x:v>signal-v1.0-draft</x:v>
      </x:c>
      <x:c r="B14" s="22" t="str">
        <x:v>PRD 초안 · 임계값 0.67</x:v>
      </x:c>
    </x:row>
    <x:row r="15">
      <x:c r="A15" s="23" t="str">
        <x:v>signal-v1.1-r0</x:v>
      </x:c>
      <x:c r="B15" s="23" t="str">
        <x:v>Release 0 · 임계값을 정확한 2/3로 보정</x:v>
      </x:c>
    </x:row>
    <x:row r="16">
      <x:c r="A16" s="24" t="str">
        <x:v>production-pending</x:v>
      </x:c>
      <x:c r="B16" s="24" t="str">
        <x:v>가격 제공자 계약과 neutral vote 제거 규칙 확정 후</x:v>
      </x:c>
    </x:row>
  </x:sheetData>
  <x:mergeCells>
    <x:mergeCell ref="A1:F1"/>
  </x:mergeCells>
  <x:pageMargins left="0.7" right="0.7" top="0.75" bottom="0.75" header="0.3" footer="0.3"/>
</x:worksheet>
</file>